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LEEME" sheetId="1" r:id="rId4"/>
    <sheet state="visible" name="01_CONTROL" sheetId="2" r:id="rId5"/>
    <sheet state="visible" name="02_MATRIZ_CONSOLIDADA" sheetId="3" r:id="rId6"/>
    <sheet state="visible" name="03_SCREENING" sheetId="4" r:id="rId7"/>
    <sheet state="visible" name="04_TIER1_TRAZABILIDAD" sheetId="5" r:id="rId8"/>
    <sheet state="visible" name="05_PENDIENTES_VERIFICACION" sheetId="6" r:id="rId9"/>
    <sheet state="visible" name="06_FUENTES_CONSOLIDADAS" sheetId="7" r:id="rId10"/>
    <sheet state="visible" name="07_ROADMAP_FASE2" sheetId="8" r:id="rId11"/>
  </sheets>
  <definedNames>
    <definedName hidden="1" localSheetId="2" name="_xlnm._FilterDatabase">'02_MATRIZ_CONSOLIDADA'!$A$3:$R$20</definedName>
    <definedName hidden="1" localSheetId="3" name="_xlnm._FilterDatabase">'03_SCREENING'!$A$3:$N$20</definedName>
  </definedNames>
  <calcPr/>
  <extLst>
    <ext uri="GoogleSheetsCustomDataVersion2">
      <go:sheetsCustomData xmlns:go="http://customooxmlschemas.google.com/" r:id="rId12" roundtripDataChecksum="0gKH26ZuuCVppVk+qFI3WTjLzCR2pJMDqeIjj9XJ9ys="/>
    </ext>
  </extLst>
</workbook>
</file>

<file path=xl/sharedStrings.xml><?xml version="1.0" encoding="utf-8"?>
<sst xmlns="http://schemas.openxmlformats.org/spreadsheetml/2006/main" count="671" uniqueCount="428">
  <si>
    <t>InnovaFirst | Fase 2 – Depuración fuerte de la Matriz Maestra de Patentes</t>
  </si>
  <si>
    <t>Objetivo</t>
  </si>
  <si>
    <t>Consolidar un universo patentario único, trazable y depurado a partir de los insumos ya construidos en Fase 1 y del seed set analítico de Fase 2.</t>
  </si>
  <si>
    <t>Base utilizada</t>
  </si>
  <si>
    <t>Ficha Maestra del Proceso, Top 10 críticas, Claim charts Tier 1, Dashboard FTO Tier 1, Excel del consultor y arsenal de prior art.</t>
  </si>
  <si>
    <t>Resultado</t>
  </si>
  <si>
    <t>Se genera una matriz consolidada, deduplicada y clasificada por rol analítico: blocking risk, monitor, prior art y pendiente de verificación.</t>
  </si>
  <si>
    <t>Hojas del workbook</t>
  </si>
  <si>
    <t>01_CONTROL; 02_MATRIZ_CONSOLIDADA; 03_SCREENING; 04_TIER1_TRAZABILIDAD; 05_PENDIENTES_VERIFICACION; 06_FUENTES_CONSOLIDADAS; 07_ROADMAP_FASE2</t>
  </si>
  <si>
    <t>Criterio rector</t>
  </si>
  <si>
    <t>Cobertura amplia + priorización selectiva + claim chart profundo solo en familias críticas.</t>
  </si>
  <si>
    <t>InnovaFirst | Control de versión y criterios</t>
  </si>
  <si>
    <t>Campo</t>
  </si>
  <si>
    <t>Valor</t>
  </si>
  <si>
    <t>Versión</t>
  </si>
  <si>
    <t>v2.0 – depuración fuerte</t>
  </si>
  <si>
    <t>Fecha de consolidación</t>
  </si>
  <si>
    <t>2026-03-24</t>
  </si>
  <si>
    <t>Estado</t>
  </si>
  <si>
    <t>Trabajo interno de screening / no constituye opinión legal final</t>
  </si>
  <si>
    <t>Fase</t>
  </si>
  <si>
    <t>Fase 2</t>
  </si>
  <si>
    <t>Criterio de cierre para Fase 2</t>
  </si>
  <si>
    <t>Matriz consolidada + screening amplio documentado + shortlist crítica post-screening + Informe de Estado del Arte / Vigilancia Global</t>
  </si>
  <si>
    <t>Fuentes base</t>
  </si>
  <si>
    <t>Innovafirst_Top10_Familias_Criticas_y_ClaimChart_Tier1.xlsx; Innovafirst_ClaimChart_Profundo_Albemarle_US11219863.xlsx; Innovafirst_ClaimChart_Profundo_Tier1_Complemento.xlsx; Innovafirst_FTO_Dashboard_Tier1.xlsx; FTO_Novandino_Patents.xlsx</t>
  </si>
  <si>
    <t>InnovaFirst | Matriz maestra consolidada y depurada</t>
  </si>
  <si>
    <t>ID</t>
  </si>
  <si>
    <t>Familia / ancla</t>
  </si>
  <si>
    <t>Publicación ancla</t>
  </si>
  <si>
    <t>Título</t>
  </si>
  <si>
    <t>Titular</t>
  </si>
  <si>
    <t>Priority</t>
  </si>
  <si>
    <t>Est. expiry</t>
  </si>
  <si>
    <t>Jurisdicciones visibles</t>
  </si>
  <si>
    <t>Status normalizado</t>
  </si>
  <si>
    <t>Módulos</t>
  </si>
  <si>
    <t>Cluster</t>
  </si>
  <si>
    <t>Rol analítico</t>
  </si>
  <si>
    <t>Tier</t>
  </si>
  <si>
    <t>Flag Tier 1</t>
  </si>
  <si>
    <t>Paquete fuente</t>
  </si>
  <si>
    <t>Conclusión post-screening</t>
  </si>
  <si>
    <t>Acción siguiente</t>
  </si>
  <si>
    <t>Notas consolidadas</t>
  </si>
  <si>
    <t>NOV-C001</t>
  </si>
  <si>
    <t>CN105540620 / US9005557 / WO2012099637</t>
  </si>
  <si>
    <t>US9005557</t>
  </si>
  <si>
    <t>Production of high purity Li compounds directly from Li-containing brines</t>
  </si>
  <si>
    <t>Albemarle (ex-Rockwood Lithium)</t>
  </si>
  <si>
    <t>2011-01-20</t>
  </si>
  <si>
    <t>2032-10-28 (US adjusted)</t>
  </si>
  <si>
    <t>US, CN, CL?, CA, AR; WO ceased; EP withdrawn</t>
  </si>
  <si>
    <t>Active grant present</t>
  </si>
  <si>
    <t>M2 KCl/reacción; M3 cristalización; M8 flowsheet</t>
  </si>
  <si>
    <t>A/B</t>
  </si>
  <si>
    <t>Blocking risk + claim chart</t>
  </si>
  <si>
    <t>Tier 1</t>
  </si>
  <si>
    <t>Sí</t>
  </si>
  <si>
    <t>Top10 + ClaimChart Profundo + Dashboard Tier1</t>
  </si>
  <si>
    <t>Mantener crítica</t>
  </si>
  <si>
    <t>Verificar miembros CL/AR/CA y maintenance US; claim chart profundo ya iniciado</t>
  </si>
  <si>
    <t>Familia más sensible del eje KCl-carnallita. Riesgo subsiste por grant US aunque PCT/EP no bloqueen autónomamente.</t>
  </si>
  <si>
    <t>NOV-C002</t>
  </si>
  <si>
    <t>US11219863 / CN109368670 / WO2020073611</t>
  </si>
  <si>
    <t>US11219863B2</t>
  </si>
  <si>
    <t>Method for separation and enrichment of lithium</t>
  </si>
  <si>
    <t>Qinghai Institute of Salt Lakes, CAS</t>
  </si>
  <si>
    <t>2018-10-10</t>
  </si>
  <si>
    <t>2039-03-19 (US anticipated)</t>
  </si>
  <si>
    <t>US, CN; WO ceased</t>
  </si>
  <si>
    <t>M5 NF; M6 RO/ED downstream; M8 flowsheet</t>
  </si>
  <si>
    <t>C/D</t>
  </si>
  <si>
    <t>Corroborar CN oficial; profundizar diferencias de feed vs post-crystallization liquor</t>
  </si>
  <si>
    <t>Ruta NF/RO/ED desde aged brine. Relevancia alta por claims activos US y miembro CN de familia.</t>
  </si>
  <si>
    <t>NOV-C003</t>
  </si>
  <si>
    <t>US11203542 / CN110603339 / WO2018208305</t>
  </si>
  <si>
    <t>US11203542B2</t>
  </si>
  <si>
    <t>Method for softening lithium brine using nanofiltration</t>
  </si>
  <si>
    <t>BL Technologies / Veolia (ex-GE Water)</t>
  </si>
  <si>
    <t>2017-05-11</t>
  </si>
  <si>
    <t>2037-08-12 (US adjusted)</t>
  </si>
  <si>
    <t>US, CN, AR, CL?, WO</t>
  </si>
  <si>
    <t>M5 NF; pretratamiento sulfato; M8 flowsheet parcial</t>
  </si>
  <si>
    <t>C</t>
  </si>
  <si>
    <t>Top10 + ClaimChart Tier1 Complemento + Dashboard Tier1</t>
  </si>
  <si>
    <t>Confirmar contraparte CL si existe activa; cerrar lectura claim-by-claim dependientes críticos</t>
  </si>
  <si>
    <t>NF multipaso con dosificación de sulfato. Riesgo centrado en claims de softening por NF más que en el flowsheet completo.</t>
  </si>
  <si>
    <t>NOV-C004</t>
  </si>
  <si>
    <t>CN103074502</t>
  </si>
  <si>
    <t>CN103074502B</t>
  </si>
  <si>
    <t>Salt lake brine treatment for separating Li from high-Mg/Li-ratio brine</t>
  </si>
  <si>
    <t>Minmetals Salt Lake + Qinghai ISL (CAS)</t>
  </si>
  <si>
    <t>2013-01-29</t>
  </si>
  <si>
    <t>~2033</t>
  </si>
  <si>
    <t>CN</t>
  </si>
  <si>
    <t>M1 evaporación; M4 dilución; M5 NF; M6 RO; M7 agua</t>
  </si>
  <si>
    <t>A/C/D</t>
  </si>
  <si>
    <t>Blocking risk CN + claim chart</t>
  </si>
  <si>
    <t>Validar status CNIPA si se escala a opinión formal; documentar diferenciación carnallita/bischofita</t>
  </si>
  <si>
    <t>Estructuralmente cercana en eje evaporación→NF→RO, aunque con química distinta (bischofita vs carnallita).</t>
  </si>
  <si>
    <t>NOV-C005</t>
  </si>
  <si>
    <t>CN103572071</t>
  </si>
  <si>
    <t>CN103572071B</t>
  </si>
  <si>
    <t>Method for refining Li from high Mg/Li ratio salt lake brine</t>
  </si>
  <si>
    <t>2013-11-15</t>
  </si>
  <si>
    <t>Granted CN (a verificar fino)</t>
  </si>
  <si>
    <t>M1 evaporación; M5 NF; M6 RO; remoción sulfato/boro</t>
  </si>
  <si>
    <t>Monitor / FTO periférico</t>
  </si>
  <si>
    <t>Tier 2</t>
  </si>
  <si>
    <t>No</t>
  </si>
  <si>
    <t>FTO_Novandino + Matriz inicial</t>
  </si>
  <si>
    <t>Monitor</t>
  </si>
  <si>
    <t>Mantener en shortlist extendida y revisar si entra a FTO formal post-screening</t>
  </si>
  <si>
    <t>Secuencia integrada con remoción de sulfato y boro. Menor cercanía por upstream chemistry distinta.</t>
  </si>
  <si>
    <t>NOV-C006</t>
  </si>
  <si>
    <t>DE102015000872</t>
  </si>
  <si>
    <t>DE102015000872A1</t>
  </si>
  <si>
    <t>Method for recovering lithium chloride from natural brines</t>
  </si>
  <si>
    <t>K-UTEC AG Salt Technologies (probable)</t>
  </si>
  <si>
    <t>2015-01-23</t>
  </si>
  <si>
    <t>~2035 si grant</t>
  </si>
  <si>
    <t>DE</t>
  </si>
  <si>
    <t>Published only / verify grant</t>
  </si>
  <si>
    <t>M2 KCl; M3 evaporación al vacío; M8 flowsheet</t>
  </si>
  <si>
    <t>Monitor + verify status</t>
  </si>
  <si>
    <t>Pendiente status</t>
  </si>
  <si>
    <t>Verificar si hubo grant o familia EP; no asumir bloqueo mientras no cierre status</t>
  </si>
  <si>
    <t>Interesa por combinación KCl + vacío, pero alcance territorial y status son inciertos.</t>
  </si>
  <si>
    <t>NOV-C007</t>
  </si>
  <si>
    <t>US8641992</t>
  </si>
  <si>
    <t>US8641992B2</t>
  </si>
  <si>
    <t>Process for recovering lithium from a brine</t>
  </si>
  <si>
    <t>ADY Resources / Arcadium (ex-Rincon Lithium)</t>
  </si>
  <si>
    <t>2008-07-18</t>
  </si>
  <si>
    <t>~2029</t>
  </si>
  <si>
    <t>US, AU</t>
  </si>
  <si>
    <t>Active / nearing expiry</t>
  </si>
  <si>
    <t>M1 evaporación; M7 recuperación condensado; química NaOH/lime</t>
  </si>
  <si>
    <t>D</t>
  </si>
  <si>
    <t>Monitor / prior art contrastivo</t>
  </si>
  <si>
    <t>Tier 3</t>
  </si>
  <si>
    <t>Monitor bajo</t>
  </si>
  <si>
    <t>Mantener como referencia de diferenciación y vigilar expiración</t>
  </si>
  <si>
    <t>Diferenciador útil: Mg removal con cal/soda, sin KCl ni NF.</t>
  </si>
  <si>
    <t>NOV-C008</t>
  </si>
  <si>
    <t>CN105540619</t>
  </si>
  <si>
    <t>CN105540619B</t>
  </si>
  <si>
    <t>Battery-grade Li2CO3 from high Mg/Li ratio brine</t>
  </si>
  <si>
    <t>Qinghai Lithium Industry Co.</t>
  </si>
  <si>
    <t>2015-08-17</t>
  </si>
  <si>
    <t>~2035</t>
  </si>
  <si>
    <t>M8 ruta integrada a producto</t>
  </si>
  <si>
    <t>Matriz inicial + screening previo</t>
  </si>
  <si>
    <t>Mantener como familia contexto, no claim chart inmediato</t>
  </si>
  <si>
    <t>Relevancia más ligada a ruta integrada a producto que al core KCl/NF actual.</t>
  </si>
  <si>
    <t>NOV-C009</t>
  </si>
  <si>
    <t>CN114735726 / WO2023159899 / US20240262704</t>
  </si>
  <si>
    <t>CN114735726B</t>
  </si>
  <si>
    <t>CaCl2-type brine evaporating and Mg-removing process</t>
  </si>
  <si>
    <t>Chinese entity</t>
  </si>
  <si>
    <t>2022-xx-xx</t>
  </si>
  <si>
    <t>~2042</t>
  </si>
  <si>
    <t>CN, WO, US, CL, GB, ES (family visible)</t>
  </si>
  <si>
    <t>Recent family with international footprint</t>
  </si>
  <si>
    <t>M1 evaporación; M2 Mg-removal chemistry</t>
  </si>
  <si>
    <t>A/D</t>
  </si>
  <si>
    <t>Monitor crítico / vigilancia</t>
  </si>
  <si>
    <t>Top10 + screening analítico</t>
  </si>
  <si>
    <t>Monitor reforzado</t>
  </si>
  <si>
    <t>Revisar prosecution y claims en US/WO/CL si avanzan</t>
  </si>
  <si>
    <t>Sube de prioridad por huella internacional reciente. No bloqueo directo aún, pero alta necesidad de monitoreo.</t>
  </si>
  <si>
    <t>NOV-C010</t>
  </si>
  <si>
    <t>CN116161680</t>
  </si>
  <si>
    <t>CN116161680B</t>
  </si>
  <si>
    <t>Process for producing KCl by using primary carnallite ore</t>
  </si>
  <si>
    <t>Bluestar Lehigh Engineering</t>
  </si>
  <si>
    <t>2022-12-19</t>
  </si>
  <si>
    <t>Granted CN / non-core</t>
  </si>
  <si>
    <t>M2/M3 carnallita-KCl</t>
  </si>
  <si>
    <t>B</t>
  </si>
  <si>
    <t>Monitor técnico</t>
  </si>
  <si>
    <t>Matriz inicial</t>
  </si>
  <si>
    <t>Monitor periférico</t>
  </si>
  <si>
    <t>Mantener fuera de shortlist crítica salvo cambio de scope</t>
  </si>
  <si>
    <t>Más ligado a obtención de KCl desde mineral primario que a separación Li/Mg desde brine.</t>
  </si>
  <si>
    <t>NOV-C011</t>
  </si>
  <si>
    <t>US8784755</t>
  </si>
  <si>
    <t>US8784755B2</t>
  </si>
  <si>
    <t>Process for obtaining potassium chloride from carnallite</t>
  </si>
  <si>
    <t>Vale-related (BR)</t>
  </si>
  <si>
    <t>~2008</t>
  </si>
  <si>
    <t>~2028</t>
  </si>
  <si>
    <t>US</t>
  </si>
  <si>
    <t>Granted / nearing expiry</t>
  </si>
  <si>
    <t>Mantener en universo pero fuera de análisis profundo inmediato</t>
  </si>
  <si>
    <t>Relevancia secundaria; más útil como contexto de carnallita que como bloqueo directo al proceso Novandino.</t>
  </si>
  <si>
    <t>NOV-C012</t>
  </si>
  <si>
    <t>US20240375972</t>
  </si>
  <si>
    <t>US20240375972A1</t>
  </si>
  <si>
    <t>Processes for recovering lithium from brines</t>
  </si>
  <si>
    <t>Albemarle Corporation</t>
  </si>
  <si>
    <t>2024-01-19</t>
  </si>
  <si>
    <t>Pending</t>
  </si>
  <si>
    <t>US (pending)</t>
  </si>
  <si>
    <t>M8 broad brine processing</t>
  </si>
  <si>
    <t>Monitor prosecution</t>
  </si>
  <si>
    <t>Monitor pending</t>
  </si>
  <si>
    <t>Monitoreo periódico de prosecution y claims enmendados</t>
  </si>
  <si>
    <t>No bloqueará hasta grant, pero puede alterar landscape Albemarle y ensanchar riesgo futuro.</t>
  </si>
  <si>
    <t>NOV-C013</t>
  </si>
  <si>
    <t>US6936229</t>
  </si>
  <si>
    <t>US6936229B1</t>
  </si>
  <si>
    <t>Recovery of lithium compounds from brines</t>
  </si>
  <si>
    <t>Chemetall / Albemarle</t>
  </si>
  <si>
    <t>1998-07-16</t>
  </si>
  <si>
    <t>Expired</t>
  </si>
  <si>
    <t>M1/M2 prior art Atacama-brine</t>
  </si>
  <si>
    <t>Prior art arsenal</t>
  </si>
  <si>
    <t>Prior art</t>
  </si>
  <si>
    <t>Prior Art Arsenal + Matriz inicial</t>
  </si>
  <si>
    <t>Citar como arte previo fundacional en patentabilidad y potencial invalidación</t>
  </si>
  <si>
    <t>Muy útil contra monopolización amplia del concepto carnallita/brines.</t>
  </si>
  <si>
    <t>NOV-C014</t>
  </si>
  <si>
    <t>CN100408705</t>
  </si>
  <si>
    <t>CN100408705C</t>
  </si>
  <si>
    <t>Method for separating Mg and enriching Li from salt lake brine by NF</t>
  </si>
  <si>
    <t>Qinghai ISL (CAS) / Ma Peihua</t>
  </si>
  <si>
    <t>2003-04-30</t>
  </si>
  <si>
    <t>Expired Apr 2023</t>
  </si>
  <si>
    <t>M5 NF Mg/Li</t>
  </si>
  <si>
    <t>Usar para patentabilidad propia y como apoyo contra claims sucesores</t>
  </si>
  <si>
    <t>Arte previo fundacional para NF Mg/Li; reduce margen para claims excesivamente amplios en NF.</t>
  </si>
  <si>
    <t>NOV-C015</t>
  </si>
  <si>
    <t>US4723962</t>
  </si>
  <si>
    <t>US4723962A</t>
  </si>
  <si>
    <t>Process for recovering lithium from salt brines</t>
  </si>
  <si>
    <t>Foote Mineral Co. (Albemarle)</t>
  </si>
  <si>
    <t>~1985</t>
  </si>
  <si>
    <t>M3 evaporación al vacío 45–60°C</t>
  </si>
  <si>
    <t>B/D</t>
  </si>
  <si>
    <t>Mantener como arte previo técnico clave</t>
  </si>
  <si>
    <t>Útil para mostrar conocimiento previo de vacío/temperatura en concentración de brines de litio.</t>
  </si>
  <si>
    <t>NOV-C016</t>
  </si>
  <si>
    <t>US3268289</t>
  </si>
  <si>
    <t>US3268289A</t>
  </si>
  <si>
    <t>Evaporative process for carnallite from brines</t>
  </si>
  <si>
    <t>Various (1966)</t>
  </si>
  <si>
    <t>1964-xx-xx</t>
  </si>
  <si>
    <t>M2/M3 carnallita por evaporación</t>
  </si>
  <si>
    <t>Citar como evidencia histórica contra claims demasiado amplios</t>
  </si>
  <si>
    <t>Arte previo fundacional del concepto carnallita desde brines.</t>
  </si>
  <si>
    <t>NOV-C017</t>
  </si>
  <si>
    <t>US6547836</t>
  </si>
  <si>
    <t>US6547836B1</t>
  </si>
  <si>
    <t>Monohydrated lithium sulfate from natural brines</t>
  </si>
  <si>
    <t>SQM</t>
  </si>
  <si>
    <t>2000-xx-xx</t>
  </si>
  <si>
    <t>Expired/near expiry depending family</t>
  </si>
  <si>
    <t>Prior art context</t>
  </si>
  <si>
    <t>M1/M2 Atacama prior art</t>
  </si>
  <si>
    <t>Prior Art Arsenal</t>
  </si>
  <si>
    <t>Confirmar estatus exacto si se usa en sección jurídica; mantener como arte previo</t>
  </si>
  <si>
    <t>Muy útil para el contexto Atacama/carnallita/bischofita y como contrapeso estratégico frente a actores chilenos.</t>
  </si>
  <si>
    <t>InnovaFirst | Screening amplio y priorización post-depuración</t>
  </si>
  <si>
    <t>Familia</t>
  </si>
  <si>
    <t>Rol</t>
  </si>
  <si>
    <t>Flag Tier1</t>
  </si>
  <si>
    <t>Status activo?</t>
  </si>
  <si>
    <t>Cobertura internacional</t>
  </si>
  <si>
    <t>Cercanía técnica</t>
  </si>
  <si>
    <t>Madurez claim chart</t>
  </si>
  <si>
    <t>Valor prior art</t>
  </si>
  <si>
    <t>Score</t>
  </si>
  <si>
    <t>Semáforo</t>
  </si>
  <si>
    <t>Sube a shortlist post-screening</t>
  </si>
  <si>
    <t>InnovaFirst | Trazabilidad Tier 1 ya trabajada</t>
  </si>
  <si>
    <t>Workbook origen</t>
  </si>
  <si>
    <t>Hoja origen</t>
  </si>
  <si>
    <t>Tipo de output</t>
  </si>
  <si>
    <t>Uso dentro de Fase 2</t>
  </si>
  <si>
    <t>Dependencia con Fase 3</t>
  </si>
  <si>
    <t>Observación</t>
  </si>
  <si>
    <t>Prioridad</t>
  </si>
  <si>
    <t>Próximo paso</t>
  </si>
  <si>
    <t>Albemarle / KCl-carnallita</t>
  </si>
  <si>
    <t>Innovafirst_ClaimChart_Profundo_Albemarle_US11219863.xlsx</t>
  </si>
  <si>
    <t>02_STATUS_ALBEMARLE + 03_CLAIMCHART_ALBEMARLE</t>
  </si>
  <si>
    <t>Status + claim chart profundo</t>
  </si>
  <si>
    <t>Terminado base</t>
  </si>
  <si>
    <t>Alimenta shortlist crítica y FTO inicial</t>
  </si>
  <si>
    <t>Sube a FTO jurisdiccional completo</t>
  </si>
  <si>
    <t>Falta cierre fino de miembros nacionales y maintenance</t>
  </si>
  <si>
    <t>Crítica</t>
  </si>
  <si>
    <t>Mantener en shortlist final</t>
  </si>
  <si>
    <t>US11219863 family</t>
  </si>
  <si>
    <t>04_STATUS_US11219863 + 05_CLAIMCHART_US11219863</t>
  </si>
  <si>
    <t>Falta corroboración CN oficial si escala a opinión formal</t>
  </si>
  <si>
    <t>US11203542 family</t>
  </si>
  <si>
    <t>Innovafirst_ClaimChart_Profundo_Tier1_Complemento.xlsx</t>
  </si>
  <si>
    <t>08_STATUS_US11203542 + 09_CLAIMCHART_US11203542</t>
  </si>
  <si>
    <t>Completa eje NF directo/multipaso</t>
  </si>
  <si>
    <t>Falta cerrar contraparte CL exacta si existe</t>
  </si>
  <si>
    <t>Alta</t>
  </si>
  <si>
    <t>CN103074502 family</t>
  </si>
  <si>
    <t>10_STATUS_CN103074502 + 11_CLAIMCHART_CN103074502</t>
  </si>
  <si>
    <t>Completa eje evaporación→NF→RO</t>
  </si>
  <si>
    <t>Falta verificación CNIPA fina</t>
  </si>
  <si>
    <t>Dashboard Tier 1</t>
  </si>
  <si>
    <t>Innovafirst_FTO_Dashboard_Tier1.xlsx</t>
  </si>
  <si>
    <t>01_DASHBOARD a 04_DECISIONES</t>
  </si>
  <si>
    <t>Scorecard y semáforo</t>
  </si>
  <si>
    <t>Sirve como capa de decisión inicial</t>
  </si>
  <si>
    <t>Se integrará luego al dashboard multi-jurisdiccional</t>
  </si>
  <si>
    <t>No reemplaza la matriz maestra</t>
  </si>
  <si>
    <t>Usar como resumen, no como base única</t>
  </si>
  <si>
    <t>InnovaFirst | Pendientes críticos para consolidación final</t>
  </si>
  <si>
    <t>Qué falta</t>
  </si>
  <si>
    <t>Por qué importa</t>
  </si>
  <si>
    <t>Fuente oficial sugerida</t>
  </si>
  <si>
    <t>Impacto</t>
  </si>
  <si>
    <t>Responsable sugerido</t>
  </si>
  <si>
    <t>Urgencia</t>
  </si>
  <si>
    <t>Salida esperada</t>
  </si>
  <si>
    <t>P-01</t>
  </si>
  <si>
    <t>US9005557 family</t>
  </si>
  <si>
    <t>Verificar miembros nacionales visibles CL/AR/CA y estatus local</t>
  </si>
  <si>
    <t>Puede alterar exposición territorial real</t>
  </si>
  <si>
    <t>USPTO + WIPO + INAPI/países locales</t>
  </si>
  <si>
    <t>FTO</t>
  </si>
  <si>
    <t>Especialista IP</t>
  </si>
  <si>
    <t>Tabla de miembros activos por jurisdicción</t>
  </si>
  <si>
    <t>Pendiente</t>
  </si>
  <si>
    <t>P-02</t>
  </si>
  <si>
    <t>Corroborar CN109368670B en fuente oficial CN</t>
  </si>
  <si>
    <t>Confianza actual media en miembro CN</t>
  </si>
  <si>
    <t>CNIPA / Google Patents como apoyo</t>
  </si>
  <si>
    <t>Especialista IP CN</t>
  </si>
  <si>
    <t>Captura/status oficial CN</t>
  </si>
  <si>
    <t>P-03</t>
  </si>
  <si>
    <t>Confirmar si existe miembro chileno activo</t>
  </si>
  <si>
    <t>CL puede ser jurisdicción comercial sensible</t>
  </si>
  <si>
    <t>INAPI + family listing oficial</t>
  </si>
  <si>
    <t>FTO comercial</t>
  </si>
  <si>
    <t>Confirmación sí/no de contraparte CL</t>
  </si>
  <si>
    <t>P-04</t>
  </si>
  <si>
    <t>DE102015000872 family</t>
  </si>
  <si>
    <t>Cerrar si quedó solo como A1 o derivó en grant/familia adicional</t>
  </si>
  <si>
    <t>Evita sobredimensionar un riesgo todavía incierto</t>
  </si>
  <si>
    <t>DPMA / EPO / Google Patents</t>
  </si>
  <si>
    <t>Screening</t>
  </si>
  <si>
    <t>Analista VT/IP</t>
  </si>
  <si>
    <t>Media</t>
  </si>
  <si>
    <t>Status normalizado final</t>
  </si>
  <si>
    <t>P-05</t>
  </si>
  <si>
    <t>Universo amplio</t>
  </si>
  <si>
    <t>Expandir por CPC/IPC, backward y forward citations</t>
  </si>
  <si>
    <t>Necesario para demostrar cobertura exhaustiva razonable</t>
  </si>
  <si>
    <t>Google Patents / Espacenet / Lens / WIPO</t>
  </si>
  <si>
    <t>Estado del arte</t>
  </si>
  <si>
    <t>Equipo VT</t>
  </si>
  <si>
    <t>Matriz ampliada post-screening</t>
  </si>
  <si>
    <t>InnovaFirst | Fuentes consolidadas usadas en esta depuración</t>
  </si>
  <si>
    <t>Fuente</t>
  </si>
  <si>
    <t>Tipo</t>
  </si>
  <si>
    <t>Qué aportó</t>
  </si>
  <si>
    <t>Dónde se absorbió</t>
  </si>
  <si>
    <t>Limitación</t>
  </si>
  <si>
    <t>Estado de uso</t>
  </si>
  <si>
    <t>Innovafirst_Top10_Familias_Criticas_y_ClaimChart_Tier1.xlsx</t>
  </si>
  <si>
    <t>Workbook de screening</t>
  </si>
  <si>
    <t>Seed set depurado, Top 10 inicial, estructura maestra</t>
  </si>
  <si>
    <t>Matriz consolidada + Screening</t>
  </si>
  <si>
    <t>No demuestra exhaustividad amplia por sí solo</t>
  </si>
  <si>
    <t>Absorbido</t>
  </si>
  <si>
    <t>Workbook claim chart</t>
  </si>
  <si>
    <t>Status y claim chart profundo de 2 familias críticas</t>
  </si>
  <si>
    <t>Tier 1 trazabilidad + notas de matriz</t>
  </si>
  <si>
    <t>No reemplaza matriz amplia</t>
  </si>
  <si>
    <t>Status y claim chart profundo de US11203542 y CN103074502</t>
  </si>
  <si>
    <t>No reemplaza screening amplio</t>
  </si>
  <si>
    <t>Dashboard analítico</t>
  </si>
  <si>
    <t>Scorecard y decisión inicial Tier 1</t>
  </si>
  <si>
    <t>Screening y Tier 1 trazabilidad</t>
  </si>
  <si>
    <t>Resumen ejecutivo, no base maestra</t>
  </si>
  <si>
    <t>FTO_Novandino_Patents.xlsx</t>
  </si>
  <si>
    <t>Seed set consultor</t>
  </si>
  <si>
    <t>Listado inicial de familias, arsenal de prior art, hipótesis de riesgo</t>
  </si>
  <si>
    <t>Matriz consolidada y prior art</t>
  </si>
  <si>
    <t>Cobertura incompleta y mezcla de dato con inferencia</t>
  </si>
  <si>
    <t>Absorbido críticamente</t>
  </si>
  <si>
    <t>InnovaFirst | Roadmap para cerrar Fase 2</t>
  </si>
  <si>
    <t>Paso</t>
  </si>
  <si>
    <t>Actividad</t>
  </si>
  <si>
    <t>Output</t>
  </si>
  <si>
    <t>Dependencia</t>
  </si>
  <si>
    <t>Horizonte</t>
  </si>
  <si>
    <t>Responsable</t>
  </si>
  <si>
    <t>Criterio de cierre</t>
  </si>
  <si>
    <t>Cerrar depuración y normalización final de la matriz</t>
  </si>
  <si>
    <t>Matriz Maestra consolidada vFinal</t>
  </si>
  <si>
    <t>Este workbook</t>
  </si>
  <si>
    <t>Semana 1</t>
  </si>
  <si>
    <t>Sin duplicados relevantes; roles y status normalizados</t>
  </si>
  <si>
    <t>En curso</t>
  </si>
  <si>
    <t>Expandir universo por CPC/IPC, backward y forward citations</t>
  </si>
  <si>
    <t>Screening amplio documentado</t>
  </si>
  <si>
    <t>Diccionario + matriz base</t>
  </si>
  <si>
    <t>Semana 1-2</t>
  </si>
  <si>
    <t>Cobertura defendible del espacio relevante</t>
  </si>
  <si>
    <t>Revisar si entran nuevas familias a shortlist crítica</t>
  </si>
  <si>
    <t>Shortlist crítica consolidada post-screening</t>
  </si>
  <si>
    <t>Paso 2</t>
  </si>
  <si>
    <t>Semana 2</t>
  </si>
  <si>
    <t>Líder IP</t>
  </si>
  <si>
    <t>Top crítica validado y justificado</t>
  </si>
  <si>
    <t>Redactar Informe de Estado del Arte / Vigilancia Global</t>
  </si>
  <si>
    <t>Documento Word fase 2</t>
  </si>
  <si>
    <t>Pasos 1-3</t>
  </si>
  <si>
    <t>Semana 2-3</t>
  </si>
  <si>
    <t>Líder VT/IP</t>
  </si>
  <si>
    <t>Documento emitido y coherente con matriz</t>
  </si>
  <si>
    <t>Preparar traspaso a Fase 3</t>
  </si>
  <si>
    <t>Paquete Fase 2 cerrado</t>
  </si>
  <si>
    <t>Todos los anteriores</t>
  </si>
  <si>
    <t>Semana 3</t>
  </si>
  <si>
    <t>PM + Líder IP</t>
  </si>
  <si>
    <t>Checklist Fase 2 completado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</si>
</sst>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4.0"/>
      <color rgb="FFFFFFFF"/>
      <name val="Calibri"/>
      <scheme val="minor"/>
    </font>
    <font/>
    <font>
      <b/>
      <color rgb="FF0E4852"/>
      <name val="Calibri"/>
      <scheme val="minor"/>
    </font>
    <font>
      <sz val="11.0"/>
      <color theme="1"/>
      <name val="Calibri"/>
    </font>
    <font>
      <b/>
      <color rgb="FFFFFFFF"/>
      <name val="Calibri"/>
      <scheme val="minor"/>
    </font>
    <font>
      <b/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0E4852"/>
        <bgColor rgb="FF0E4852"/>
      </patternFill>
    </fill>
    <fill>
      <patternFill patternType="solid">
        <fgColor rgb="FFDDF4F8"/>
        <bgColor rgb="FFDDF4F8"/>
      </patternFill>
    </fill>
    <fill>
      <patternFill patternType="solid">
        <fgColor rgb="FF38B7CC"/>
        <bgColor rgb="FF38B7CC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  <fill>
      <patternFill patternType="solid">
        <fgColor theme="0"/>
        <bgColor theme="0"/>
      </patternFill>
    </fill>
  </fills>
  <borders count="5">
    <border/>
    <border>
      <left style="thin">
        <color rgb="FFD9E2E8"/>
      </left>
      <top style="thin">
        <color rgb="FFD9E2E8"/>
      </top>
      <bottom style="thin">
        <color rgb="FFD9E2E8"/>
      </bottom>
    </border>
    <border>
      <top style="thin">
        <color rgb="FFD9E2E8"/>
      </top>
      <bottom style="thin">
        <color rgb="FFD9E2E8"/>
      </bottom>
    </border>
    <border>
      <right style="thin">
        <color rgb="FFD9E2E8"/>
      </right>
      <top style="thin">
        <color rgb="FFD9E2E8"/>
      </top>
      <bottom style="thin">
        <color rgb="FFD9E2E8"/>
      </bottom>
    </border>
    <border>
      <left style="thin">
        <color rgb="FFD9E2E8"/>
      </left>
      <right style="thin">
        <color rgb="FFD9E2E8"/>
      </right>
      <top style="thin">
        <color rgb="FFD9E2E8"/>
      </top>
      <bottom style="thin">
        <color rgb="FFD9E2E8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shrinkToFit="0" vertical="top" wrapText="1"/>
    </xf>
    <xf borderId="4" fillId="0" fontId="4" numFmtId="0" xfId="0" applyAlignment="1" applyBorder="1" applyFont="1">
      <alignment shrinkToFit="0" vertical="top" wrapText="1"/>
    </xf>
    <xf borderId="4" fillId="4" fontId="5" numFmtId="0" xfId="0" applyAlignment="1" applyBorder="1" applyFill="1" applyFont="1">
      <alignment horizontal="center" shrinkToFit="0" vertical="center" wrapText="1"/>
    </xf>
    <xf borderId="4" fillId="5" fontId="5" numFmtId="0" xfId="0" applyAlignment="1" applyBorder="1" applyFill="1" applyFont="1">
      <alignment horizontal="center" shrinkToFit="0" vertical="center" wrapText="1"/>
    </xf>
    <xf borderId="4" fillId="6" fontId="4" numFmtId="0" xfId="0" applyAlignment="1" applyBorder="1" applyFill="1" applyFont="1">
      <alignment shrinkToFit="0" vertical="top" wrapText="1"/>
    </xf>
    <xf borderId="4" fillId="6" fontId="6" numFmtId="0" xfId="0" applyAlignment="1" applyBorder="1" applyFont="1">
      <alignment shrinkToFit="0" vertical="top" wrapText="1"/>
    </xf>
    <xf borderId="4" fillId="7" fontId="4" numFmtId="0" xfId="0" applyAlignment="1" applyBorder="1" applyFill="1" applyFont="1">
      <alignment shrinkToFit="0" vertical="top" wrapText="1"/>
    </xf>
    <xf borderId="4" fillId="7" fontId="6" numFmtId="0" xfId="0" applyAlignment="1" applyBorder="1" applyFont="1">
      <alignment shrinkToFit="0" vertical="top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10.0"/>
    <col customWidth="1" min="3" max="26" width="8.71"/>
  </cols>
  <sheetData>
    <row r="1" ht="21.75" customHeight="1">
      <c r="A1" s="1" t="s">
        <v>0</v>
      </c>
      <c r="B1" s="2"/>
      <c r="C1" s="2"/>
      <c r="D1" s="2"/>
      <c r="E1" s="2"/>
      <c r="F1" s="2"/>
      <c r="G1" s="2"/>
      <c r="H1" s="3"/>
    </row>
    <row r="2" ht="21.75" customHeight="1"/>
    <row r="3" ht="29.25" customHeight="1">
      <c r="A3" s="4" t="s">
        <v>1</v>
      </c>
      <c r="B3" s="5" t="s">
        <v>2</v>
      </c>
    </row>
    <row r="4" ht="21.75" customHeight="1">
      <c r="A4" s="4" t="s">
        <v>3</v>
      </c>
      <c r="B4" s="5" t="s">
        <v>4</v>
      </c>
    </row>
    <row r="5" ht="34.5" customHeight="1">
      <c r="A5" s="4" t="s">
        <v>5</v>
      </c>
      <c r="B5" s="5" t="s">
        <v>6</v>
      </c>
    </row>
    <row r="6" ht="35.25" customHeight="1">
      <c r="A6" s="4" t="s">
        <v>7</v>
      </c>
      <c r="B6" s="5" t="s">
        <v>8</v>
      </c>
    </row>
    <row r="7" ht="21.75" customHeight="1">
      <c r="A7" s="4"/>
      <c r="B7" s="5"/>
    </row>
    <row r="8" ht="21.75" customHeight="1">
      <c r="A8" s="4" t="s">
        <v>9</v>
      </c>
      <c r="B8" s="5" t="s">
        <v>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2" width="110.0"/>
    <col customWidth="1" min="3" max="26" width="8.71"/>
  </cols>
  <sheetData>
    <row r="1" ht="21.75" customHeight="1">
      <c r="A1" s="1" t="s">
        <v>11</v>
      </c>
      <c r="B1" s="2"/>
      <c r="C1" s="2"/>
      <c r="D1" s="2"/>
      <c r="E1" s="2"/>
      <c r="F1" s="3"/>
    </row>
    <row r="2" ht="21.75" customHeight="1"/>
    <row r="3" ht="21.75" customHeight="1">
      <c r="A3" s="6" t="s">
        <v>12</v>
      </c>
      <c r="B3" s="6" t="s">
        <v>13</v>
      </c>
    </row>
    <row r="4" ht="21.75" customHeight="1">
      <c r="A4" s="5" t="s">
        <v>14</v>
      </c>
      <c r="B4" s="5" t="s">
        <v>15</v>
      </c>
    </row>
    <row r="5" ht="21.75" customHeight="1">
      <c r="A5" s="5" t="s">
        <v>16</v>
      </c>
      <c r="B5" s="5" t="s">
        <v>17</v>
      </c>
    </row>
    <row r="6" ht="21.75" customHeight="1">
      <c r="A6" s="5" t="s">
        <v>18</v>
      </c>
      <c r="B6" s="5" t="s">
        <v>19</v>
      </c>
    </row>
    <row r="7" ht="21.75" customHeight="1">
      <c r="A7" s="5" t="s">
        <v>20</v>
      </c>
      <c r="B7" s="5" t="s">
        <v>21</v>
      </c>
    </row>
    <row r="8" ht="29.25" customHeight="1">
      <c r="A8" s="5" t="s">
        <v>22</v>
      </c>
      <c r="B8" s="5" t="s">
        <v>23</v>
      </c>
    </row>
    <row r="9" ht="48.75" customHeight="1">
      <c r="A9" s="5" t="s">
        <v>24</v>
      </c>
      <c r="B9" s="5" t="s">
        <v>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2.0"/>
    <col customWidth="1" min="2" max="2" width="34.0"/>
    <col customWidth="1" min="3" max="3" width="20.0"/>
    <col customWidth="1" min="4" max="4" width="42.0"/>
    <col customWidth="1" min="5" max="5" width="28.0"/>
    <col customWidth="1" min="6" max="6" width="12.0"/>
    <col customWidth="1" min="7" max="7" width="20.0"/>
    <col customWidth="1" min="8" max="8" width="34.0"/>
    <col customWidth="1" min="9" max="9" width="24.0"/>
    <col customWidth="1" min="10" max="10" width="28.0"/>
    <col customWidth="1" min="11" max="11" width="10.0"/>
    <col customWidth="1" min="12" max="12" width="24.0"/>
    <col customWidth="1" min="13" max="13" width="12.0"/>
    <col customWidth="1" min="14" max="14" width="10.0"/>
    <col customWidth="1" min="15" max="15" width="40.0"/>
    <col customWidth="1" min="16" max="16" width="24.0"/>
    <col customWidth="1" min="17" max="17" width="34.0"/>
    <col customWidth="1" min="18" max="18" width="50.0"/>
    <col customWidth="1" min="19" max="26" width="8.71"/>
  </cols>
  <sheetData>
    <row r="1" ht="21.75" customHeight="1">
      <c r="A1" s="1" t="s">
        <v>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</row>
    <row r="2" ht="21.75" customHeight="1"/>
    <row r="3" ht="21.75" customHeight="1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7" t="s">
        <v>42</v>
      </c>
      <c r="Q3" s="7" t="s">
        <v>43</v>
      </c>
      <c r="R3" s="7" t="s">
        <v>44</v>
      </c>
    </row>
    <row r="4">
      <c r="A4" s="8" t="s">
        <v>45</v>
      </c>
      <c r="B4" s="8" t="s">
        <v>46</v>
      </c>
      <c r="C4" s="8" t="s">
        <v>47</v>
      </c>
      <c r="D4" s="8" t="s">
        <v>48</v>
      </c>
      <c r="E4" s="8" t="s">
        <v>49</v>
      </c>
      <c r="F4" s="8" t="s">
        <v>50</v>
      </c>
      <c r="G4" s="8" t="s">
        <v>51</v>
      </c>
      <c r="H4" s="8" t="s">
        <v>52</v>
      </c>
      <c r="I4" s="8" t="s">
        <v>53</v>
      </c>
      <c r="J4" s="8" t="s">
        <v>54</v>
      </c>
      <c r="K4" s="8" t="s">
        <v>55</v>
      </c>
      <c r="L4" s="8" t="s">
        <v>56</v>
      </c>
      <c r="M4" s="8" t="s">
        <v>57</v>
      </c>
      <c r="N4" s="9" t="s">
        <v>58</v>
      </c>
      <c r="O4" s="8" t="s">
        <v>59</v>
      </c>
      <c r="P4" s="8" t="s">
        <v>60</v>
      </c>
      <c r="Q4" s="8" t="s">
        <v>61</v>
      </c>
      <c r="R4" s="8" t="s">
        <v>62</v>
      </c>
    </row>
    <row r="5">
      <c r="A5" s="10" t="s">
        <v>63</v>
      </c>
      <c r="B5" s="10" t="s">
        <v>64</v>
      </c>
      <c r="C5" s="10" t="s">
        <v>65</v>
      </c>
      <c r="D5" s="10" t="s">
        <v>66</v>
      </c>
      <c r="E5" s="10" t="s">
        <v>67</v>
      </c>
      <c r="F5" s="10" t="s">
        <v>68</v>
      </c>
      <c r="G5" s="10" t="s">
        <v>69</v>
      </c>
      <c r="H5" s="10" t="s">
        <v>70</v>
      </c>
      <c r="I5" s="10" t="s">
        <v>53</v>
      </c>
      <c r="J5" s="10" t="s">
        <v>71</v>
      </c>
      <c r="K5" s="10" t="s">
        <v>72</v>
      </c>
      <c r="L5" s="10" t="s">
        <v>56</v>
      </c>
      <c r="M5" s="10" t="s">
        <v>57</v>
      </c>
      <c r="N5" s="11" t="s">
        <v>58</v>
      </c>
      <c r="O5" s="10" t="s">
        <v>59</v>
      </c>
      <c r="P5" s="10" t="s">
        <v>60</v>
      </c>
      <c r="Q5" s="10" t="s">
        <v>73</v>
      </c>
      <c r="R5" s="10" t="s">
        <v>74</v>
      </c>
    </row>
    <row r="6">
      <c r="A6" s="8" t="s">
        <v>75</v>
      </c>
      <c r="B6" s="8" t="s">
        <v>76</v>
      </c>
      <c r="C6" s="8" t="s">
        <v>77</v>
      </c>
      <c r="D6" s="8" t="s">
        <v>78</v>
      </c>
      <c r="E6" s="8" t="s">
        <v>79</v>
      </c>
      <c r="F6" s="8" t="s">
        <v>80</v>
      </c>
      <c r="G6" s="8" t="s">
        <v>81</v>
      </c>
      <c r="H6" s="8" t="s">
        <v>82</v>
      </c>
      <c r="I6" s="8" t="s">
        <v>53</v>
      </c>
      <c r="J6" s="8" t="s">
        <v>83</v>
      </c>
      <c r="K6" s="8" t="s">
        <v>84</v>
      </c>
      <c r="L6" s="8" t="s">
        <v>56</v>
      </c>
      <c r="M6" s="8" t="s">
        <v>57</v>
      </c>
      <c r="N6" s="9" t="s">
        <v>58</v>
      </c>
      <c r="O6" s="8" t="s">
        <v>85</v>
      </c>
      <c r="P6" s="8" t="s">
        <v>60</v>
      </c>
      <c r="Q6" s="8" t="s">
        <v>86</v>
      </c>
      <c r="R6" s="8" t="s">
        <v>87</v>
      </c>
    </row>
    <row r="7">
      <c r="A7" s="10" t="s">
        <v>88</v>
      </c>
      <c r="B7" s="10" t="s">
        <v>89</v>
      </c>
      <c r="C7" s="10" t="s">
        <v>90</v>
      </c>
      <c r="D7" s="10" t="s">
        <v>91</v>
      </c>
      <c r="E7" s="10" t="s">
        <v>92</v>
      </c>
      <c r="F7" s="10" t="s">
        <v>93</v>
      </c>
      <c r="G7" s="10" t="s">
        <v>94</v>
      </c>
      <c r="H7" s="10" t="s">
        <v>95</v>
      </c>
      <c r="I7" s="10" t="s">
        <v>53</v>
      </c>
      <c r="J7" s="10" t="s">
        <v>96</v>
      </c>
      <c r="K7" s="10" t="s">
        <v>97</v>
      </c>
      <c r="L7" s="10" t="s">
        <v>98</v>
      </c>
      <c r="M7" s="10" t="s">
        <v>57</v>
      </c>
      <c r="N7" s="11" t="s">
        <v>58</v>
      </c>
      <c r="O7" s="10" t="s">
        <v>85</v>
      </c>
      <c r="P7" s="10" t="s">
        <v>60</v>
      </c>
      <c r="Q7" s="10" t="s">
        <v>99</v>
      </c>
      <c r="R7" s="10" t="s">
        <v>100</v>
      </c>
    </row>
    <row r="8">
      <c r="A8" s="8" t="s">
        <v>101</v>
      </c>
      <c r="B8" s="8" t="s">
        <v>102</v>
      </c>
      <c r="C8" s="8" t="s">
        <v>103</v>
      </c>
      <c r="D8" s="8" t="s">
        <v>104</v>
      </c>
      <c r="E8" s="8" t="s">
        <v>67</v>
      </c>
      <c r="F8" s="8" t="s">
        <v>105</v>
      </c>
      <c r="G8" s="8" t="s">
        <v>94</v>
      </c>
      <c r="H8" s="8" t="s">
        <v>95</v>
      </c>
      <c r="I8" s="8" t="s">
        <v>106</v>
      </c>
      <c r="J8" s="8" t="s">
        <v>107</v>
      </c>
      <c r="K8" s="8" t="s">
        <v>72</v>
      </c>
      <c r="L8" s="8" t="s">
        <v>108</v>
      </c>
      <c r="M8" s="8" t="s">
        <v>109</v>
      </c>
      <c r="N8" s="8" t="s">
        <v>110</v>
      </c>
      <c r="O8" s="8" t="s">
        <v>111</v>
      </c>
      <c r="P8" s="8" t="s">
        <v>112</v>
      </c>
      <c r="Q8" s="8" t="s">
        <v>113</v>
      </c>
      <c r="R8" s="8" t="s">
        <v>114</v>
      </c>
    </row>
    <row r="9">
      <c r="A9" s="10" t="s">
        <v>115</v>
      </c>
      <c r="B9" s="10" t="s">
        <v>116</v>
      </c>
      <c r="C9" s="10" t="s">
        <v>117</v>
      </c>
      <c r="D9" s="10" t="s">
        <v>118</v>
      </c>
      <c r="E9" s="10" t="s">
        <v>119</v>
      </c>
      <c r="F9" s="10" t="s">
        <v>120</v>
      </c>
      <c r="G9" s="10" t="s">
        <v>121</v>
      </c>
      <c r="H9" s="10" t="s">
        <v>122</v>
      </c>
      <c r="I9" s="10" t="s">
        <v>123</v>
      </c>
      <c r="J9" s="10" t="s">
        <v>124</v>
      </c>
      <c r="K9" s="10" t="s">
        <v>55</v>
      </c>
      <c r="L9" s="10" t="s">
        <v>125</v>
      </c>
      <c r="M9" s="10" t="s">
        <v>109</v>
      </c>
      <c r="N9" s="10" t="s">
        <v>110</v>
      </c>
      <c r="O9" s="10" t="s">
        <v>111</v>
      </c>
      <c r="P9" s="10" t="s">
        <v>126</v>
      </c>
      <c r="Q9" s="10" t="s">
        <v>127</v>
      </c>
      <c r="R9" s="10" t="s">
        <v>128</v>
      </c>
    </row>
    <row r="10">
      <c r="A10" s="8" t="s">
        <v>129</v>
      </c>
      <c r="B10" s="8" t="s">
        <v>130</v>
      </c>
      <c r="C10" s="8" t="s">
        <v>131</v>
      </c>
      <c r="D10" s="8" t="s">
        <v>132</v>
      </c>
      <c r="E10" s="8" t="s">
        <v>133</v>
      </c>
      <c r="F10" s="8" t="s">
        <v>134</v>
      </c>
      <c r="G10" s="8" t="s">
        <v>135</v>
      </c>
      <c r="H10" s="8" t="s">
        <v>136</v>
      </c>
      <c r="I10" s="8" t="s">
        <v>137</v>
      </c>
      <c r="J10" s="8" t="s">
        <v>138</v>
      </c>
      <c r="K10" s="8" t="s">
        <v>139</v>
      </c>
      <c r="L10" s="8" t="s">
        <v>140</v>
      </c>
      <c r="M10" s="8" t="s">
        <v>141</v>
      </c>
      <c r="N10" s="8" t="s">
        <v>110</v>
      </c>
      <c r="O10" s="8" t="s">
        <v>111</v>
      </c>
      <c r="P10" s="8" t="s">
        <v>142</v>
      </c>
      <c r="Q10" s="8" t="s">
        <v>143</v>
      </c>
      <c r="R10" s="8" t="s">
        <v>144</v>
      </c>
    </row>
    <row r="11">
      <c r="A11" s="10" t="s">
        <v>145</v>
      </c>
      <c r="B11" s="10" t="s">
        <v>146</v>
      </c>
      <c r="C11" s="10" t="s">
        <v>147</v>
      </c>
      <c r="D11" s="10" t="s">
        <v>148</v>
      </c>
      <c r="E11" s="10" t="s">
        <v>149</v>
      </c>
      <c r="F11" s="10" t="s">
        <v>150</v>
      </c>
      <c r="G11" s="10" t="s">
        <v>151</v>
      </c>
      <c r="H11" s="10" t="s">
        <v>95</v>
      </c>
      <c r="I11" s="10" t="s">
        <v>106</v>
      </c>
      <c r="J11" s="10" t="s">
        <v>152</v>
      </c>
      <c r="K11" s="10" t="s">
        <v>139</v>
      </c>
      <c r="L11" s="10" t="s">
        <v>112</v>
      </c>
      <c r="M11" s="10" t="s">
        <v>109</v>
      </c>
      <c r="N11" s="10" t="s">
        <v>110</v>
      </c>
      <c r="O11" s="10" t="s">
        <v>153</v>
      </c>
      <c r="P11" s="10" t="s">
        <v>112</v>
      </c>
      <c r="Q11" s="10" t="s">
        <v>154</v>
      </c>
      <c r="R11" s="10" t="s">
        <v>155</v>
      </c>
    </row>
    <row r="12">
      <c r="A12" s="8" t="s">
        <v>156</v>
      </c>
      <c r="B12" s="8" t="s">
        <v>157</v>
      </c>
      <c r="C12" s="8" t="s">
        <v>158</v>
      </c>
      <c r="D12" s="8" t="s">
        <v>159</v>
      </c>
      <c r="E12" s="8" t="s">
        <v>160</v>
      </c>
      <c r="F12" s="8" t="s">
        <v>161</v>
      </c>
      <c r="G12" s="8" t="s">
        <v>162</v>
      </c>
      <c r="H12" s="8" t="s">
        <v>163</v>
      </c>
      <c r="I12" s="8" t="s">
        <v>164</v>
      </c>
      <c r="J12" s="8" t="s">
        <v>165</v>
      </c>
      <c r="K12" s="8" t="s">
        <v>166</v>
      </c>
      <c r="L12" s="8" t="s">
        <v>167</v>
      </c>
      <c r="M12" s="8" t="s">
        <v>109</v>
      </c>
      <c r="N12" s="8" t="s">
        <v>110</v>
      </c>
      <c r="O12" s="8" t="s">
        <v>168</v>
      </c>
      <c r="P12" s="8" t="s">
        <v>169</v>
      </c>
      <c r="Q12" s="8" t="s">
        <v>170</v>
      </c>
      <c r="R12" s="8" t="s">
        <v>171</v>
      </c>
    </row>
    <row r="13">
      <c r="A13" s="10" t="s">
        <v>172</v>
      </c>
      <c r="B13" s="10" t="s">
        <v>173</v>
      </c>
      <c r="C13" s="10" t="s">
        <v>174</v>
      </c>
      <c r="D13" s="10" t="s">
        <v>175</v>
      </c>
      <c r="E13" s="10" t="s">
        <v>176</v>
      </c>
      <c r="F13" s="10" t="s">
        <v>177</v>
      </c>
      <c r="G13" s="10" t="s">
        <v>162</v>
      </c>
      <c r="H13" s="10" t="s">
        <v>95</v>
      </c>
      <c r="I13" s="10" t="s">
        <v>178</v>
      </c>
      <c r="J13" s="10" t="s">
        <v>179</v>
      </c>
      <c r="K13" s="10" t="s">
        <v>180</v>
      </c>
      <c r="L13" s="10" t="s">
        <v>181</v>
      </c>
      <c r="M13" s="10" t="s">
        <v>141</v>
      </c>
      <c r="N13" s="10" t="s">
        <v>110</v>
      </c>
      <c r="O13" s="10" t="s">
        <v>182</v>
      </c>
      <c r="P13" s="10" t="s">
        <v>183</v>
      </c>
      <c r="Q13" s="10" t="s">
        <v>184</v>
      </c>
      <c r="R13" s="10" t="s">
        <v>185</v>
      </c>
    </row>
    <row r="14">
      <c r="A14" s="8" t="s">
        <v>186</v>
      </c>
      <c r="B14" s="8" t="s">
        <v>187</v>
      </c>
      <c r="C14" s="8" t="s">
        <v>188</v>
      </c>
      <c r="D14" s="8" t="s">
        <v>189</v>
      </c>
      <c r="E14" s="8" t="s">
        <v>190</v>
      </c>
      <c r="F14" s="8" t="s">
        <v>191</v>
      </c>
      <c r="G14" s="8" t="s">
        <v>192</v>
      </c>
      <c r="H14" s="8" t="s">
        <v>193</v>
      </c>
      <c r="I14" s="8" t="s">
        <v>194</v>
      </c>
      <c r="J14" s="8" t="s">
        <v>179</v>
      </c>
      <c r="K14" s="8" t="s">
        <v>180</v>
      </c>
      <c r="L14" s="8" t="s">
        <v>181</v>
      </c>
      <c r="M14" s="8" t="s">
        <v>141</v>
      </c>
      <c r="N14" s="8" t="s">
        <v>110</v>
      </c>
      <c r="O14" s="8" t="s">
        <v>182</v>
      </c>
      <c r="P14" s="8" t="s">
        <v>183</v>
      </c>
      <c r="Q14" s="8" t="s">
        <v>195</v>
      </c>
      <c r="R14" s="8" t="s">
        <v>196</v>
      </c>
    </row>
    <row r="15">
      <c r="A15" s="10" t="s">
        <v>197</v>
      </c>
      <c r="B15" s="10" t="s">
        <v>198</v>
      </c>
      <c r="C15" s="10" t="s">
        <v>199</v>
      </c>
      <c r="D15" s="10" t="s">
        <v>200</v>
      </c>
      <c r="E15" s="10" t="s">
        <v>201</v>
      </c>
      <c r="F15" s="10" t="s">
        <v>202</v>
      </c>
      <c r="G15" s="10" t="s">
        <v>203</v>
      </c>
      <c r="H15" s="10" t="s">
        <v>204</v>
      </c>
      <c r="I15" s="10" t="s">
        <v>203</v>
      </c>
      <c r="J15" s="10" t="s">
        <v>205</v>
      </c>
      <c r="K15" s="10" t="s">
        <v>97</v>
      </c>
      <c r="L15" s="10" t="s">
        <v>206</v>
      </c>
      <c r="M15" s="10" t="s">
        <v>109</v>
      </c>
      <c r="N15" s="10" t="s">
        <v>110</v>
      </c>
      <c r="O15" s="10" t="s">
        <v>182</v>
      </c>
      <c r="P15" s="10" t="s">
        <v>207</v>
      </c>
      <c r="Q15" s="10" t="s">
        <v>208</v>
      </c>
      <c r="R15" s="10" t="s">
        <v>209</v>
      </c>
    </row>
    <row r="16">
      <c r="A16" s="8" t="s">
        <v>210</v>
      </c>
      <c r="B16" s="8" t="s">
        <v>211</v>
      </c>
      <c r="C16" s="8" t="s">
        <v>212</v>
      </c>
      <c r="D16" s="8" t="s">
        <v>213</v>
      </c>
      <c r="E16" s="8" t="s">
        <v>214</v>
      </c>
      <c r="F16" s="8" t="s">
        <v>215</v>
      </c>
      <c r="G16" s="8" t="s">
        <v>216</v>
      </c>
      <c r="H16" s="8" t="s">
        <v>193</v>
      </c>
      <c r="I16" s="8" t="s">
        <v>216</v>
      </c>
      <c r="J16" s="8" t="s">
        <v>217</v>
      </c>
      <c r="K16" s="8" t="s">
        <v>166</v>
      </c>
      <c r="L16" s="8" t="s">
        <v>218</v>
      </c>
      <c r="M16" s="8" t="s">
        <v>219</v>
      </c>
      <c r="N16" s="8" t="s">
        <v>110</v>
      </c>
      <c r="O16" s="8" t="s">
        <v>220</v>
      </c>
      <c r="P16" s="8" t="s">
        <v>219</v>
      </c>
      <c r="Q16" s="8" t="s">
        <v>221</v>
      </c>
      <c r="R16" s="8" t="s">
        <v>222</v>
      </c>
    </row>
    <row r="17">
      <c r="A17" s="10" t="s">
        <v>223</v>
      </c>
      <c r="B17" s="10" t="s">
        <v>224</v>
      </c>
      <c r="C17" s="10" t="s">
        <v>225</v>
      </c>
      <c r="D17" s="10" t="s">
        <v>226</v>
      </c>
      <c r="E17" s="10" t="s">
        <v>227</v>
      </c>
      <c r="F17" s="10" t="s">
        <v>228</v>
      </c>
      <c r="G17" s="10" t="s">
        <v>229</v>
      </c>
      <c r="H17" s="10" t="s">
        <v>95</v>
      </c>
      <c r="I17" s="10" t="s">
        <v>216</v>
      </c>
      <c r="J17" s="10" t="s">
        <v>230</v>
      </c>
      <c r="K17" s="10" t="s">
        <v>84</v>
      </c>
      <c r="L17" s="10" t="s">
        <v>218</v>
      </c>
      <c r="M17" s="10" t="s">
        <v>219</v>
      </c>
      <c r="N17" s="10" t="s">
        <v>110</v>
      </c>
      <c r="O17" s="10" t="s">
        <v>220</v>
      </c>
      <c r="P17" s="10" t="s">
        <v>219</v>
      </c>
      <c r="Q17" s="10" t="s">
        <v>231</v>
      </c>
      <c r="R17" s="10" t="s">
        <v>232</v>
      </c>
    </row>
    <row r="18">
      <c r="A18" s="8" t="s">
        <v>233</v>
      </c>
      <c r="B18" s="8" t="s">
        <v>234</v>
      </c>
      <c r="C18" s="8" t="s">
        <v>235</v>
      </c>
      <c r="D18" s="8" t="s">
        <v>236</v>
      </c>
      <c r="E18" s="8" t="s">
        <v>237</v>
      </c>
      <c r="F18" s="8" t="s">
        <v>238</v>
      </c>
      <c r="G18" s="8" t="s">
        <v>216</v>
      </c>
      <c r="H18" s="8" t="s">
        <v>193</v>
      </c>
      <c r="I18" s="8" t="s">
        <v>216</v>
      </c>
      <c r="J18" s="8" t="s">
        <v>239</v>
      </c>
      <c r="K18" s="8" t="s">
        <v>240</v>
      </c>
      <c r="L18" s="8" t="s">
        <v>218</v>
      </c>
      <c r="M18" s="8" t="s">
        <v>219</v>
      </c>
      <c r="N18" s="8" t="s">
        <v>110</v>
      </c>
      <c r="O18" s="8" t="s">
        <v>220</v>
      </c>
      <c r="P18" s="8" t="s">
        <v>219</v>
      </c>
      <c r="Q18" s="8" t="s">
        <v>241</v>
      </c>
      <c r="R18" s="8" t="s">
        <v>242</v>
      </c>
    </row>
    <row r="19">
      <c r="A19" s="10" t="s">
        <v>243</v>
      </c>
      <c r="B19" s="10" t="s">
        <v>244</v>
      </c>
      <c r="C19" s="10" t="s">
        <v>245</v>
      </c>
      <c r="D19" s="10" t="s">
        <v>246</v>
      </c>
      <c r="E19" s="10" t="s">
        <v>247</v>
      </c>
      <c r="F19" s="10" t="s">
        <v>248</v>
      </c>
      <c r="G19" s="10" t="s">
        <v>216</v>
      </c>
      <c r="H19" s="10" t="s">
        <v>193</v>
      </c>
      <c r="I19" s="10" t="s">
        <v>216</v>
      </c>
      <c r="J19" s="10" t="s">
        <v>249</v>
      </c>
      <c r="K19" s="10" t="s">
        <v>55</v>
      </c>
      <c r="L19" s="10" t="s">
        <v>218</v>
      </c>
      <c r="M19" s="10" t="s">
        <v>219</v>
      </c>
      <c r="N19" s="10" t="s">
        <v>110</v>
      </c>
      <c r="O19" s="10" t="s">
        <v>220</v>
      </c>
      <c r="P19" s="10" t="s">
        <v>219</v>
      </c>
      <c r="Q19" s="10" t="s">
        <v>250</v>
      </c>
      <c r="R19" s="10" t="s">
        <v>251</v>
      </c>
    </row>
    <row r="20">
      <c r="A20" s="8" t="s">
        <v>252</v>
      </c>
      <c r="B20" s="8" t="s">
        <v>253</v>
      </c>
      <c r="C20" s="8" t="s">
        <v>254</v>
      </c>
      <c r="D20" s="8" t="s">
        <v>255</v>
      </c>
      <c r="E20" s="8" t="s">
        <v>256</v>
      </c>
      <c r="F20" s="8" t="s">
        <v>257</v>
      </c>
      <c r="G20" s="8" t="s">
        <v>258</v>
      </c>
      <c r="H20" s="8" t="s">
        <v>193</v>
      </c>
      <c r="I20" s="8" t="s">
        <v>259</v>
      </c>
      <c r="J20" s="8" t="s">
        <v>260</v>
      </c>
      <c r="K20" s="8" t="s">
        <v>166</v>
      </c>
      <c r="L20" s="8" t="s">
        <v>218</v>
      </c>
      <c r="M20" s="8" t="s">
        <v>219</v>
      </c>
      <c r="N20" s="8" t="s">
        <v>110</v>
      </c>
      <c r="O20" s="8" t="s">
        <v>261</v>
      </c>
      <c r="P20" s="8" t="s">
        <v>219</v>
      </c>
      <c r="Q20" s="8" t="s">
        <v>262</v>
      </c>
      <c r="R20" s="8" t="s">
        <v>263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R$20"/>
  <mergeCells count="1">
    <mergeCell ref="A1:R1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0.0"/>
    <col customWidth="1" min="2" max="2" width="34.0"/>
    <col customWidth="1" min="3" max="3" width="24.0"/>
    <col customWidth="1" min="4" max="4" width="12.0"/>
    <col customWidth="1" min="5" max="5" width="10.0"/>
    <col customWidth="1" min="6" max="6" width="12.0"/>
    <col customWidth="1" min="7" max="8" width="16.0"/>
    <col customWidth="1" min="9" max="9" width="18.0"/>
    <col customWidth="1" min="10" max="10" width="14.0"/>
    <col customWidth="1" min="11" max="11" width="16.0"/>
    <col customWidth="1" min="12" max="12" width="10.0"/>
    <col customWidth="1" min="13" max="13" width="12.0"/>
    <col customWidth="1" min="14" max="14" width="18.0"/>
    <col customWidth="1" min="15" max="26" width="8.71"/>
  </cols>
  <sheetData>
    <row r="1" ht="21.75" customHeight="1">
      <c r="A1" s="1" t="s">
        <v>264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ht="21.75" customHeight="1"/>
    <row r="3">
      <c r="A3" s="6" t="s">
        <v>27</v>
      </c>
      <c r="B3" s="6" t="s">
        <v>265</v>
      </c>
      <c r="C3" s="6" t="s">
        <v>266</v>
      </c>
      <c r="D3" s="6" t="s">
        <v>39</v>
      </c>
      <c r="E3" s="6" t="s">
        <v>267</v>
      </c>
      <c r="F3" s="6" t="s">
        <v>268</v>
      </c>
      <c r="G3" s="6" t="s">
        <v>269</v>
      </c>
      <c r="H3" s="6" t="s">
        <v>270</v>
      </c>
      <c r="I3" s="6" t="s">
        <v>271</v>
      </c>
      <c r="J3" s="6" t="s">
        <v>272</v>
      </c>
      <c r="K3" s="6" t="s">
        <v>126</v>
      </c>
      <c r="L3" s="6" t="s">
        <v>273</v>
      </c>
      <c r="M3" s="6" t="s">
        <v>274</v>
      </c>
      <c r="N3" s="6" t="s">
        <v>275</v>
      </c>
    </row>
    <row r="4">
      <c r="A4" s="5" t="s">
        <v>45</v>
      </c>
      <c r="B4" s="5" t="s">
        <v>46</v>
      </c>
      <c r="C4" s="5" t="s">
        <v>56</v>
      </c>
      <c r="D4" s="5" t="s">
        <v>57</v>
      </c>
      <c r="E4" s="5" t="s">
        <v>58</v>
      </c>
      <c r="F4" s="5" t="s">
        <v>58</v>
      </c>
      <c r="G4" s="5">
        <v>3.0</v>
      </c>
      <c r="H4" s="5">
        <v>3.0</v>
      </c>
      <c r="I4" s="5">
        <v>3.0</v>
      </c>
      <c r="J4" s="5">
        <v>0.0</v>
      </c>
      <c r="K4" s="5">
        <v>0.0</v>
      </c>
      <c r="L4" s="5">
        <f t="shared" ref="L4:L20" si="1">IF(C4="Blocking risk + claim chart",35,IF(LEFT(C4,8)="Blocking",30,IF(ISNUMBER(SEARCH("Monitor",C4)),15,8)))+G4*8+H4*10+I4*8+J4*5-K4*4</f>
        <v>113</v>
      </c>
      <c r="M4" s="5" t="str">
        <f t="shared" ref="M4:M20" si="2">IF(L4&gt;=75,"ALTO",IF(L4&gt;=50,"MEDIO","BAJO"))</f>
        <v>ALTO</v>
      </c>
      <c r="N4" s="5" t="str">
        <f t="shared" ref="N4:N20" si="3">IF(OR(E4="Sí",L4&gt;=60),"Sí",IF(AND(C4="Prior art arsenal",L4&lt;60),"No","Revisar"))</f>
        <v>Sí</v>
      </c>
    </row>
    <row r="5">
      <c r="A5" s="5" t="s">
        <v>63</v>
      </c>
      <c r="B5" s="5" t="s">
        <v>64</v>
      </c>
      <c r="C5" s="5" t="s">
        <v>56</v>
      </c>
      <c r="D5" s="5" t="s">
        <v>57</v>
      </c>
      <c r="E5" s="5" t="s">
        <v>58</v>
      </c>
      <c r="F5" s="5" t="s">
        <v>58</v>
      </c>
      <c r="G5" s="5">
        <v>3.0</v>
      </c>
      <c r="H5" s="5">
        <v>3.0</v>
      </c>
      <c r="I5" s="5">
        <v>3.0</v>
      </c>
      <c r="J5" s="5">
        <v>0.0</v>
      </c>
      <c r="K5" s="5">
        <v>0.0</v>
      </c>
      <c r="L5" s="5">
        <f t="shared" si="1"/>
        <v>113</v>
      </c>
      <c r="M5" s="5" t="str">
        <f t="shared" si="2"/>
        <v>ALTO</v>
      </c>
      <c r="N5" s="5" t="str">
        <f t="shared" si="3"/>
        <v>Sí</v>
      </c>
    </row>
    <row r="6">
      <c r="A6" s="5" t="s">
        <v>75</v>
      </c>
      <c r="B6" s="5" t="s">
        <v>76</v>
      </c>
      <c r="C6" s="5" t="s">
        <v>56</v>
      </c>
      <c r="D6" s="5" t="s">
        <v>57</v>
      </c>
      <c r="E6" s="5" t="s">
        <v>58</v>
      </c>
      <c r="F6" s="5" t="s">
        <v>58</v>
      </c>
      <c r="G6" s="5">
        <v>3.0</v>
      </c>
      <c r="H6" s="5">
        <v>3.0</v>
      </c>
      <c r="I6" s="5">
        <v>3.0</v>
      </c>
      <c r="J6" s="5">
        <v>0.0</v>
      </c>
      <c r="K6" s="5">
        <v>0.0</v>
      </c>
      <c r="L6" s="5">
        <f t="shared" si="1"/>
        <v>113</v>
      </c>
      <c r="M6" s="5" t="str">
        <f t="shared" si="2"/>
        <v>ALTO</v>
      </c>
      <c r="N6" s="5" t="str">
        <f t="shared" si="3"/>
        <v>Sí</v>
      </c>
    </row>
    <row r="7">
      <c r="A7" s="5" t="s">
        <v>88</v>
      </c>
      <c r="B7" s="5" t="s">
        <v>89</v>
      </c>
      <c r="C7" s="5" t="s">
        <v>98</v>
      </c>
      <c r="D7" s="5" t="s">
        <v>57</v>
      </c>
      <c r="E7" s="5" t="s">
        <v>58</v>
      </c>
      <c r="F7" s="5" t="s">
        <v>58</v>
      </c>
      <c r="G7" s="5">
        <v>1.0</v>
      </c>
      <c r="H7" s="5">
        <v>3.0</v>
      </c>
      <c r="I7" s="5">
        <v>3.0</v>
      </c>
      <c r="J7" s="5">
        <v>0.0</v>
      </c>
      <c r="K7" s="5">
        <v>0.0</v>
      </c>
      <c r="L7" s="5">
        <f t="shared" si="1"/>
        <v>92</v>
      </c>
      <c r="M7" s="5" t="str">
        <f t="shared" si="2"/>
        <v>ALTO</v>
      </c>
      <c r="N7" s="5" t="str">
        <f t="shared" si="3"/>
        <v>Sí</v>
      </c>
    </row>
    <row r="8">
      <c r="A8" s="5" t="s">
        <v>101</v>
      </c>
      <c r="B8" s="5" t="s">
        <v>102</v>
      </c>
      <c r="C8" s="5" t="s">
        <v>108</v>
      </c>
      <c r="D8" s="5" t="s">
        <v>109</v>
      </c>
      <c r="E8" s="5" t="s">
        <v>110</v>
      </c>
      <c r="F8" s="5" t="s">
        <v>58</v>
      </c>
      <c r="G8" s="5">
        <v>1.0</v>
      </c>
      <c r="H8" s="5">
        <v>2.0</v>
      </c>
      <c r="I8" s="5">
        <v>1.0</v>
      </c>
      <c r="J8" s="5">
        <v>0.0</v>
      </c>
      <c r="K8" s="5">
        <v>2.0</v>
      </c>
      <c r="L8" s="5">
        <f t="shared" si="1"/>
        <v>43</v>
      </c>
      <c r="M8" s="5" t="str">
        <f t="shared" si="2"/>
        <v>BAJO</v>
      </c>
      <c r="N8" s="5" t="str">
        <f t="shared" si="3"/>
        <v>Revisar</v>
      </c>
    </row>
    <row r="9">
      <c r="A9" s="5" t="s">
        <v>115</v>
      </c>
      <c r="B9" s="5" t="s">
        <v>116</v>
      </c>
      <c r="C9" s="5" t="s">
        <v>125</v>
      </c>
      <c r="D9" s="5" t="s">
        <v>109</v>
      </c>
      <c r="E9" s="5" t="s">
        <v>110</v>
      </c>
      <c r="F9" s="5" t="s">
        <v>110</v>
      </c>
      <c r="G9" s="5">
        <v>1.0</v>
      </c>
      <c r="H9" s="5">
        <v>2.0</v>
      </c>
      <c r="I9" s="5">
        <v>1.0</v>
      </c>
      <c r="J9" s="5">
        <v>0.0</v>
      </c>
      <c r="K9" s="5">
        <v>2.0</v>
      </c>
      <c r="L9" s="5">
        <f t="shared" si="1"/>
        <v>43</v>
      </c>
      <c r="M9" s="5" t="str">
        <f t="shared" si="2"/>
        <v>BAJO</v>
      </c>
      <c r="N9" s="5" t="str">
        <f t="shared" si="3"/>
        <v>Revisar</v>
      </c>
    </row>
    <row r="10">
      <c r="A10" s="5" t="s">
        <v>129</v>
      </c>
      <c r="B10" s="5" t="s">
        <v>130</v>
      </c>
      <c r="C10" s="5" t="s">
        <v>140</v>
      </c>
      <c r="D10" s="5" t="s">
        <v>141</v>
      </c>
      <c r="E10" s="5" t="s">
        <v>110</v>
      </c>
      <c r="F10" s="5" t="s">
        <v>58</v>
      </c>
      <c r="G10" s="5">
        <v>2.0</v>
      </c>
      <c r="H10" s="5">
        <v>1.0</v>
      </c>
      <c r="I10" s="5">
        <v>1.0</v>
      </c>
      <c r="J10" s="5">
        <v>0.0</v>
      </c>
      <c r="K10" s="5">
        <v>0.0</v>
      </c>
      <c r="L10" s="5">
        <f t="shared" si="1"/>
        <v>49</v>
      </c>
      <c r="M10" s="5" t="str">
        <f t="shared" si="2"/>
        <v>BAJO</v>
      </c>
      <c r="N10" s="5" t="str">
        <f t="shared" si="3"/>
        <v>Revisar</v>
      </c>
    </row>
    <row r="11">
      <c r="A11" s="5" t="s">
        <v>145</v>
      </c>
      <c r="B11" s="5" t="s">
        <v>146</v>
      </c>
      <c r="C11" s="5" t="s">
        <v>112</v>
      </c>
      <c r="D11" s="5" t="s">
        <v>109</v>
      </c>
      <c r="E11" s="5" t="s">
        <v>110</v>
      </c>
      <c r="F11" s="5" t="s">
        <v>58</v>
      </c>
      <c r="G11" s="5">
        <v>1.0</v>
      </c>
      <c r="H11" s="5">
        <v>1.0</v>
      </c>
      <c r="I11" s="5">
        <v>1.0</v>
      </c>
      <c r="J11" s="5">
        <v>0.0</v>
      </c>
      <c r="K11" s="5">
        <v>2.0</v>
      </c>
      <c r="L11" s="5">
        <f t="shared" si="1"/>
        <v>33</v>
      </c>
      <c r="M11" s="5" t="str">
        <f t="shared" si="2"/>
        <v>BAJO</v>
      </c>
      <c r="N11" s="5" t="str">
        <f t="shared" si="3"/>
        <v>Revisar</v>
      </c>
    </row>
    <row r="12">
      <c r="A12" s="5" t="s">
        <v>156</v>
      </c>
      <c r="B12" s="5" t="s">
        <v>157</v>
      </c>
      <c r="C12" s="5" t="s">
        <v>167</v>
      </c>
      <c r="D12" s="5" t="s">
        <v>109</v>
      </c>
      <c r="E12" s="5" t="s">
        <v>110</v>
      </c>
      <c r="F12" s="5" t="s">
        <v>110</v>
      </c>
      <c r="G12" s="5">
        <v>3.0</v>
      </c>
      <c r="H12" s="5">
        <v>2.0</v>
      </c>
      <c r="I12" s="5">
        <v>1.0</v>
      </c>
      <c r="J12" s="5">
        <v>0.0</v>
      </c>
      <c r="K12" s="5">
        <v>0.0</v>
      </c>
      <c r="L12" s="5">
        <f t="shared" si="1"/>
        <v>67</v>
      </c>
      <c r="M12" s="5" t="str">
        <f t="shared" si="2"/>
        <v>MEDIO</v>
      </c>
      <c r="N12" s="5" t="str">
        <f t="shared" si="3"/>
        <v>Sí</v>
      </c>
    </row>
    <row r="13">
      <c r="A13" s="5" t="s">
        <v>172</v>
      </c>
      <c r="B13" s="5" t="s">
        <v>173</v>
      </c>
      <c r="C13" s="5" t="s">
        <v>181</v>
      </c>
      <c r="D13" s="5" t="s">
        <v>141</v>
      </c>
      <c r="E13" s="5" t="s">
        <v>110</v>
      </c>
      <c r="F13" s="5" t="s">
        <v>58</v>
      </c>
      <c r="G13" s="5">
        <v>1.0</v>
      </c>
      <c r="H13" s="5">
        <v>1.0</v>
      </c>
      <c r="I13" s="5">
        <v>1.0</v>
      </c>
      <c r="J13" s="5">
        <v>0.0</v>
      </c>
      <c r="K13" s="5">
        <v>0.0</v>
      </c>
      <c r="L13" s="5">
        <f t="shared" si="1"/>
        <v>41</v>
      </c>
      <c r="M13" s="5" t="str">
        <f t="shared" si="2"/>
        <v>BAJO</v>
      </c>
      <c r="N13" s="5" t="str">
        <f t="shared" si="3"/>
        <v>Revisar</v>
      </c>
    </row>
    <row r="14">
      <c r="A14" s="5" t="s">
        <v>186</v>
      </c>
      <c r="B14" s="5" t="s">
        <v>187</v>
      </c>
      <c r="C14" s="5" t="s">
        <v>181</v>
      </c>
      <c r="D14" s="5" t="s">
        <v>141</v>
      </c>
      <c r="E14" s="5" t="s">
        <v>110</v>
      </c>
      <c r="F14" s="5" t="s">
        <v>58</v>
      </c>
      <c r="G14" s="5">
        <v>1.0</v>
      </c>
      <c r="H14" s="5">
        <v>1.0</v>
      </c>
      <c r="I14" s="5">
        <v>1.0</v>
      </c>
      <c r="J14" s="5">
        <v>0.0</v>
      </c>
      <c r="K14" s="5">
        <v>0.0</v>
      </c>
      <c r="L14" s="5">
        <f t="shared" si="1"/>
        <v>41</v>
      </c>
      <c r="M14" s="5" t="str">
        <f t="shared" si="2"/>
        <v>BAJO</v>
      </c>
      <c r="N14" s="5" t="str">
        <f t="shared" si="3"/>
        <v>Revisar</v>
      </c>
    </row>
    <row r="15">
      <c r="A15" s="5" t="s">
        <v>197</v>
      </c>
      <c r="B15" s="5" t="s">
        <v>198</v>
      </c>
      <c r="C15" s="5" t="s">
        <v>206</v>
      </c>
      <c r="D15" s="5" t="s">
        <v>109</v>
      </c>
      <c r="E15" s="5" t="s">
        <v>110</v>
      </c>
      <c r="F15" s="5" t="s">
        <v>58</v>
      </c>
      <c r="G15" s="5">
        <v>2.0</v>
      </c>
      <c r="H15" s="5">
        <v>2.0</v>
      </c>
      <c r="I15" s="5">
        <v>1.0</v>
      </c>
      <c r="J15" s="5">
        <v>0.0</v>
      </c>
      <c r="K15" s="5">
        <v>2.0</v>
      </c>
      <c r="L15" s="5">
        <f t="shared" si="1"/>
        <v>51</v>
      </c>
      <c r="M15" s="5" t="str">
        <f t="shared" si="2"/>
        <v>MEDIO</v>
      </c>
      <c r="N15" s="5" t="str">
        <f t="shared" si="3"/>
        <v>Revisar</v>
      </c>
    </row>
    <row r="16">
      <c r="A16" s="5" t="s">
        <v>210</v>
      </c>
      <c r="B16" s="5" t="s">
        <v>211</v>
      </c>
      <c r="C16" s="5" t="s">
        <v>218</v>
      </c>
      <c r="D16" s="5" t="s">
        <v>219</v>
      </c>
      <c r="E16" s="5" t="s">
        <v>110</v>
      </c>
      <c r="F16" s="5" t="s">
        <v>110</v>
      </c>
      <c r="G16" s="5">
        <v>1.0</v>
      </c>
      <c r="H16" s="5">
        <v>1.0</v>
      </c>
      <c r="I16" s="5">
        <v>1.0</v>
      </c>
      <c r="J16" s="5">
        <v>3.0</v>
      </c>
      <c r="K16" s="5">
        <v>0.0</v>
      </c>
      <c r="L16" s="5">
        <f t="shared" si="1"/>
        <v>49</v>
      </c>
      <c r="M16" s="5" t="str">
        <f t="shared" si="2"/>
        <v>BAJO</v>
      </c>
      <c r="N16" s="5" t="str">
        <f t="shared" si="3"/>
        <v>No</v>
      </c>
    </row>
    <row r="17">
      <c r="A17" s="5" t="s">
        <v>223</v>
      </c>
      <c r="B17" s="5" t="s">
        <v>224</v>
      </c>
      <c r="C17" s="5" t="s">
        <v>218</v>
      </c>
      <c r="D17" s="5" t="s">
        <v>219</v>
      </c>
      <c r="E17" s="5" t="s">
        <v>110</v>
      </c>
      <c r="F17" s="5" t="s">
        <v>110</v>
      </c>
      <c r="G17" s="5">
        <v>1.0</v>
      </c>
      <c r="H17" s="5">
        <v>1.0</v>
      </c>
      <c r="I17" s="5">
        <v>1.0</v>
      </c>
      <c r="J17" s="5">
        <v>3.0</v>
      </c>
      <c r="K17" s="5">
        <v>0.0</v>
      </c>
      <c r="L17" s="5">
        <f t="shared" si="1"/>
        <v>49</v>
      </c>
      <c r="M17" s="5" t="str">
        <f t="shared" si="2"/>
        <v>BAJO</v>
      </c>
      <c r="N17" s="5" t="str">
        <f t="shared" si="3"/>
        <v>No</v>
      </c>
    </row>
    <row r="18">
      <c r="A18" s="5" t="s">
        <v>233</v>
      </c>
      <c r="B18" s="5" t="s">
        <v>234</v>
      </c>
      <c r="C18" s="5" t="s">
        <v>218</v>
      </c>
      <c r="D18" s="5" t="s">
        <v>219</v>
      </c>
      <c r="E18" s="5" t="s">
        <v>110</v>
      </c>
      <c r="F18" s="5" t="s">
        <v>110</v>
      </c>
      <c r="G18" s="5">
        <v>1.0</v>
      </c>
      <c r="H18" s="5">
        <v>1.0</v>
      </c>
      <c r="I18" s="5">
        <v>1.0</v>
      </c>
      <c r="J18" s="5">
        <v>3.0</v>
      </c>
      <c r="K18" s="5">
        <v>0.0</v>
      </c>
      <c r="L18" s="5">
        <f t="shared" si="1"/>
        <v>49</v>
      </c>
      <c r="M18" s="5" t="str">
        <f t="shared" si="2"/>
        <v>BAJO</v>
      </c>
      <c r="N18" s="5" t="str">
        <f t="shared" si="3"/>
        <v>No</v>
      </c>
    </row>
    <row r="19">
      <c r="A19" s="5" t="s">
        <v>243</v>
      </c>
      <c r="B19" s="5" t="s">
        <v>244</v>
      </c>
      <c r="C19" s="5" t="s">
        <v>218</v>
      </c>
      <c r="D19" s="5" t="s">
        <v>219</v>
      </c>
      <c r="E19" s="5" t="s">
        <v>110</v>
      </c>
      <c r="F19" s="5" t="s">
        <v>110</v>
      </c>
      <c r="G19" s="5">
        <v>1.0</v>
      </c>
      <c r="H19" s="5">
        <v>1.0</v>
      </c>
      <c r="I19" s="5">
        <v>1.0</v>
      </c>
      <c r="J19" s="5">
        <v>3.0</v>
      </c>
      <c r="K19" s="5">
        <v>0.0</v>
      </c>
      <c r="L19" s="5">
        <f t="shared" si="1"/>
        <v>49</v>
      </c>
      <c r="M19" s="5" t="str">
        <f t="shared" si="2"/>
        <v>BAJO</v>
      </c>
      <c r="N19" s="5" t="str">
        <f t="shared" si="3"/>
        <v>No</v>
      </c>
    </row>
    <row r="20">
      <c r="A20" s="5" t="s">
        <v>252</v>
      </c>
      <c r="B20" s="5" t="s">
        <v>253</v>
      </c>
      <c r="C20" s="5" t="s">
        <v>218</v>
      </c>
      <c r="D20" s="5" t="s">
        <v>219</v>
      </c>
      <c r="E20" s="5" t="s">
        <v>110</v>
      </c>
      <c r="F20" s="5" t="s">
        <v>110</v>
      </c>
      <c r="G20" s="5">
        <v>1.0</v>
      </c>
      <c r="H20" s="5">
        <v>1.0</v>
      </c>
      <c r="I20" s="5">
        <v>1.0</v>
      </c>
      <c r="J20" s="5">
        <v>3.0</v>
      </c>
      <c r="K20" s="5">
        <v>0.0</v>
      </c>
      <c r="L20" s="5">
        <f t="shared" si="1"/>
        <v>49</v>
      </c>
      <c r="M20" s="5" t="str">
        <f t="shared" si="2"/>
        <v>BAJO</v>
      </c>
      <c r="N20" s="5" t="str">
        <f t="shared" si="3"/>
        <v>No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N$20"/>
  <mergeCells count="1">
    <mergeCell ref="A1:N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44.0"/>
    <col customWidth="1" min="3" max="3" width="36.0"/>
    <col customWidth="1" min="4" max="4" width="22.0"/>
    <col customWidth="1" min="5" max="5" width="16.0"/>
    <col customWidth="1" min="6" max="7" width="24.0"/>
    <col customWidth="1" min="8" max="8" width="34.0"/>
    <col customWidth="1" min="9" max="9" width="12.0"/>
    <col customWidth="1" min="10" max="10" width="28.0"/>
    <col customWidth="1" min="11" max="26" width="8.71"/>
  </cols>
  <sheetData>
    <row r="1" ht="21.75" customHeight="1">
      <c r="A1" s="1" t="s">
        <v>276</v>
      </c>
      <c r="B1" s="2"/>
      <c r="C1" s="2"/>
      <c r="D1" s="2"/>
      <c r="E1" s="2"/>
      <c r="F1" s="2"/>
      <c r="G1" s="2"/>
      <c r="H1" s="2"/>
      <c r="I1" s="2"/>
      <c r="J1" s="3"/>
    </row>
    <row r="2" ht="21.75" customHeight="1"/>
    <row r="3">
      <c r="A3" s="6" t="s">
        <v>265</v>
      </c>
      <c r="B3" s="6" t="s">
        <v>277</v>
      </c>
      <c r="C3" s="6" t="s">
        <v>278</v>
      </c>
      <c r="D3" s="6" t="s">
        <v>279</v>
      </c>
      <c r="E3" s="6" t="s">
        <v>18</v>
      </c>
      <c r="F3" s="6" t="s">
        <v>280</v>
      </c>
      <c r="G3" s="6" t="s">
        <v>281</v>
      </c>
      <c r="H3" s="6" t="s">
        <v>282</v>
      </c>
      <c r="I3" s="6" t="s">
        <v>283</v>
      </c>
      <c r="J3" s="6" t="s">
        <v>284</v>
      </c>
    </row>
    <row r="4">
      <c r="A4" s="5" t="s">
        <v>285</v>
      </c>
      <c r="B4" s="5" t="s">
        <v>286</v>
      </c>
      <c r="C4" s="5" t="s">
        <v>287</v>
      </c>
      <c r="D4" s="5" t="s">
        <v>288</v>
      </c>
      <c r="E4" s="5" t="s">
        <v>289</v>
      </c>
      <c r="F4" s="5" t="s">
        <v>290</v>
      </c>
      <c r="G4" s="5" t="s">
        <v>291</v>
      </c>
      <c r="H4" s="5" t="s">
        <v>292</v>
      </c>
      <c r="I4" s="5" t="s">
        <v>293</v>
      </c>
      <c r="J4" s="5" t="s">
        <v>294</v>
      </c>
    </row>
    <row r="5">
      <c r="A5" s="5" t="s">
        <v>295</v>
      </c>
      <c r="B5" s="5" t="s">
        <v>286</v>
      </c>
      <c r="C5" s="5" t="s">
        <v>296</v>
      </c>
      <c r="D5" s="5" t="s">
        <v>288</v>
      </c>
      <c r="E5" s="5" t="s">
        <v>289</v>
      </c>
      <c r="F5" s="5" t="s">
        <v>290</v>
      </c>
      <c r="G5" s="5" t="s">
        <v>291</v>
      </c>
      <c r="H5" s="5" t="s">
        <v>297</v>
      </c>
      <c r="I5" s="5" t="s">
        <v>293</v>
      </c>
      <c r="J5" s="5" t="s">
        <v>294</v>
      </c>
    </row>
    <row r="6">
      <c r="A6" s="5" t="s">
        <v>298</v>
      </c>
      <c r="B6" s="5" t="s">
        <v>299</v>
      </c>
      <c r="C6" s="5" t="s">
        <v>300</v>
      </c>
      <c r="D6" s="5" t="s">
        <v>288</v>
      </c>
      <c r="E6" s="5" t="s">
        <v>289</v>
      </c>
      <c r="F6" s="5" t="s">
        <v>301</v>
      </c>
      <c r="G6" s="5" t="s">
        <v>291</v>
      </c>
      <c r="H6" s="5" t="s">
        <v>302</v>
      </c>
      <c r="I6" s="5" t="s">
        <v>303</v>
      </c>
      <c r="J6" s="5" t="s">
        <v>294</v>
      </c>
    </row>
    <row r="7">
      <c r="A7" s="5" t="s">
        <v>304</v>
      </c>
      <c r="B7" s="5" t="s">
        <v>299</v>
      </c>
      <c r="C7" s="5" t="s">
        <v>305</v>
      </c>
      <c r="D7" s="5" t="s">
        <v>288</v>
      </c>
      <c r="E7" s="5" t="s">
        <v>289</v>
      </c>
      <c r="F7" s="5" t="s">
        <v>306</v>
      </c>
      <c r="G7" s="5" t="s">
        <v>291</v>
      </c>
      <c r="H7" s="5" t="s">
        <v>307</v>
      </c>
      <c r="I7" s="5" t="s">
        <v>303</v>
      </c>
      <c r="J7" s="5" t="s">
        <v>294</v>
      </c>
    </row>
    <row r="8">
      <c r="A8" s="5" t="s">
        <v>308</v>
      </c>
      <c r="B8" s="5" t="s">
        <v>309</v>
      </c>
      <c r="C8" s="5" t="s">
        <v>310</v>
      </c>
      <c r="D8" s="5" t="s">
        <v>311</v>
      </c>
      <c r="E8" s="5" t="s">
        <v>289</v>
      </c>
      <c r="F8" s="5" t="s">
        <v>312</v>
      </c>
      <c r="G8" s="5" t="s">
        <v>313</v>
      </c>
      <c r="H8" s="5" t="s">
        <v>314</v>
      </c>
      <c r="I8" s="5" t="s">
        <v>303</v>
      </c>
      <c r="J8" s="5" t="s">
        <v>315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28.0"/>
    <col customWidth="1" min="3" max="3" width="34.0"/>
    <col customWidth="1" min="4" max="4" width="28.0"/>
    <col customWidth="1" min="5" max="5" width="26.0"/>
    <col customWidth="1" min="6" max="6" width="16.0"/>
    <col customWidth="1" min="7" max="7" width="20.0"/>
    <col customWidth="1" min="8" max="8" width="12.0"/>
    <col customWidth="1" min="9" max="9" width="26.0"/>
    <col customWidth="1" min="10" max="10" width="12.0"/>
    <col customWidth="1" min="11" max="26" width="8.71"/>
  </cols>
  <sheetData>
    <row r="1" ht="21.75" customHeight="1">
      <c r="A1" s="1" t="s">
        <v>316</v>
      </c>
      <c r="B1" s="2"/>
      <c r="C1" s="2"/>
      <c r="D1" s="2"/>
      <c r="E1" s="2"/>
      <c r="F1" s="2"/>
      <c r="G1" s="2"/>
      <c r="H1" s="2"/>
      <c r="I1" s="2"/>
      <c r="J1" s="3"/>
    </row>
    <row r="2" ht="21.75" customHeight="1"/>
    <row r="3">
      <c r="A3" s="6" t="s">
        <v>27</v>
      </c>
      <c r="B3" s="6" t="s">
        <v>265</v>
      </c>
      <c r="C3" s="6" t="s">
        <v>317</v>
      </c>
      <c r="D3" s="6" t="s">
        <v>318</v>
      </c>
      <c r="E3" s="6" t="s">
        <v>319</v>
      </c>
      <c r="F3" s="6" t="s">
        <v>320</v>
      </c>
      <c r="G3" s="6" t="s">
        <v>321</v>
      </c>
      <c r="H3" s="6" t="s">
        <v>322</v>
      </c>
      <c r="I3" s="6" t="s">
        <v>323</v>
      </c>
      <c r="J3" s="6" t="s">
        <v>18</v>
      </c>
    </row>
    <row r="4">
      <c r="A4" s="5" t="s">
        <v>324</v>
      </c>
      <c r="B4" s="5" t="s">
        <v>325</v>
      </c>
      <c r="C4" s="5" t="s">
        <v>326</v>
      </c>
      <c r="D4" s="5" t="s">
        <v>327</v>
      </c>
      <c r="E4" s="5" t="s">
        <v>328</v>
      </c>
      <c r="F4" s="5" t="s">
        <v>329</v>
      </c>
      <c r="G4" s="5" t="s">
        <v>330</v>
      </c>
      <c r="H4" s="5" t="s">
        <v>303</v>
      </c>
      <c r="I4" s="5" t="s">
        <v>331</v>
      </c>
      <c r="J4" s="5" t="s">
        <v>332</v>
      </c>
    </row>
    <row r="5">
      <c r="A5" s="5" t="s">
        <v>333</v>
      </c>
      <c r="B5" s="5" t="s">
        <v>295</v>
      </c>
      <c r="C5" s="5" t="s">
        <v>334</v>
      </c>
      <c r="D5" s="5" t="s">
        <v>335</v>
      </c>
      <c r="E5" s="5" t="s">
        <v>336</v>
      </c>
      <c r="F5" s="5" t="s">
        <v>329</v>
      </c>
      <c r="G5" s="5" t="s">
        <v>337</v>
      </c>
      <c r="H5" s="5" t="s">
        <v>303</v>
      </c>
      <c r="I5" s="5" t="s">
        <v>338</v>
      </c>
      <c r="J5" s="5" t="s">
        <v>332</v>
      </c>
    </row>
    <row r="6">
      <c r="A6" s="5" t="s">
        <v>339</v>
      </c>
      <c r="B6" s="5" t="s">
        <v>298</v>
      </c>
      <c r="C6" s="5" t="s">
        <v>340</v>
      </c>
      <c r="D6" s="5" t="s">
        <v>341</v>
      </c>
      <c r="E6" s="5" t="s">
        <v>342</v>
      </c>
      <c r="F6" s="5" t="s">
        <v>343</v>
      </c>
      <c r="G6" s="5" t="s">
        <v>330</v>
      </c>
      <c r="H6" s="5" t="s">
        <v>303</v>
      </c>
      <c r="I6" s="5" t="s">
        <v>344</v>
      </c>
      <c r="J6" s="5" t="s">
        <v>332</v>
      </c>
    </row>
    <row r="7">
      <c r="A7" s="5" t="s">
        <v>345</v>
      </c>
      <c r="B7" s="5" t="s">
        <v>346</v>
      </c>
      <c r="C7" s="5" t="s">
        <v>347</v>
      </c>
      <c r="D7" s="5" t="s">
        <v>348</v>
      </c>
      <c r="E7" s="5" t="s">
        <v>349</v>
      </c>
      <c r="F7" s="5" t="s">
        <v>350</v>
      </c>
      <c r="G7" s="5" t="s">
        <v>351</v>
      </c>
      <c r="H7" s="5" t="s">
        <v>352</v>
      </c>
      <c r="I7" s="5" t="s">
        <v>353</v>
      </c>
      <c r="J7" s="5" t="s">
        <v>332</v>
      </c>
    </row>
    <row r="8">
      <c r="A8" s="5" t="s">
        <v>354</v>
      </c>
      <c r="B8" s="5" t="s">
        <v>355</v>
      </c>
      <c r="C8" s="5" t="s">
        <v>356</v>
      </c>
      <c r="D8" s="5" t="s">
        <v>357</v>
      </c>
      <c r="E8" s="5" t="s">
        <v>358</v>
      </c>
      <c r="F8" s="5" t="s">
        <v>359</v>
      </c>
      <c r="G8" s="5" t="s">
        <v>360</v>
      </c>
      <c r="H8" s="5" t="s">
        <v>293</v>
      </c>
      <c r="I8" s="5" t="s">
        <v>361</v>
      </c>
      <c r="J8" s="5" t="s">
        <v>332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6.0"/>
    <col customWidth="1" min="2" max="2" width="18.0"/>
    <col customWidth="1" min="3" max="3" width="34.0"/>
    <col customWidth="1" min="4" max="4" width="28.0"/>
    <col customWidth="1" min="5" max="5" width="30.0"/>
    <col customWidth="1" min="6" max="6" width="14.0"/>
    <col customWidth="1" min="7" max="26" width="8.71"/>
  </cols>
  <sheetData>
    <row r="1" ht="21.75" customHeight="1">
      <c r="A1" s="1" t="s">
        <v>362</v>
      </c>
      <c r="B1" s="2"/>
      <c r="C1" s="2"/>
      <c r="D1" s="2"/>
      <c r="E1" s="2"/>
      <c r="F1" s="3"/>
    </row>
    <row r="2" ht="21.75" customHeight="1"/>
    <row r="3" ht="21.75" customHeight="1">
      <c r="A3" s="6" t="s">
        <v>363</v>
      </c>
      <c r="B3" s="6" t="s">
        <v>364</v>
      </c>
      <c r="C3" s="6" t="s">
        <v>365</v>
      </c>
      <c r="D3" s="6" t="s">
        <v>366</v>
      </c>
      <c r="E3" s="6" t="s">
        <v>367</v>
      </c>
      <c r="F3" s="6" t="s">
        <v>368</v>
      </c>
    </row>
    <row r="4">
      <c r="A4" s="5" t="s">
        <v>369</v>
      </c>
      <c r="B4" s="5" t="s">
        <v>370</v>
      </c>
      <c r="C4" s="5" t="s">
        <v>371</v>
      </c>
      <c r="D4" s="5" t="s">
        <v>372</v>
      </c>
      <c r="E4" s="5" t="s">
        <v>373</v>
      </c>
      <c r="F4" s="5" t="s">
        <v>374</v>
      </c>
    </row>
    <row r="5">
      <c r="A5" s="5" t="s">
        <v>286</v>
      </c>
      <c r="B5" s="5" t="s">
        <v>375</v>
      </c>
      <c r="C5" s="5" t="s">
        <v>376</v>
      </c>
      <c r="D5" s="5" t="s">
        <v>377</v>
      </c>
      <c r="E5" s="5" t="s">
        <v>378</v>
      </c>
      <c r="F5" s="5" t="s">
        <v>374</v>
      </c>
    </row>
    <row r="6">
      <c r="A6" s="5" t="s">
        <v>299</v>
      </c>
      <c r="B6" s="5" t="s">
        <v>375</v>
      </c>
      <c r="C6" s="5" t="s">
        <v>379</v>
      </c>
      <c r="D6" s="5" t="s">
        <v>377</v>
      </c>
      <c r="E6" s="5" t="s">
        <v>380</v>
      </c>
      <c r="F6" s="5" t="s">
        <v>374</v>
      </c>
    </row>
    <row r="7">
      <c r="A7" s="5" t="s">
        <v>309</v>
      </c>
      <c r="B7" s="5" t="s">
        <v>381</v>
      </c>
      <c r="C7" s="5" t="s">
        <v>382</v>
      </c>
      <c r="D7" s="5" t="s">
        <v>383</v>
      </c>
      <c r="E7" s="5" t="s">
        <v>384</v>
      </c>
      <c r="F7" s="5" t="s">
        <v>374</v>
      </c>
    </row>
    <row r="8">
      <c r="A8" s="5" t="s">
        <v>385</v>
      </c>
      <c r="B8" s="5" t="s">
        <v>386</v>
      </c>
      <c r="C8" s="5" t="s">
        <v>387</v>
      </c>
      <c r="D8" s="5" t="s">
        <v>388</v>
      </c>
      <c r="E8" s="5" t="s">
        <v>389</v>
      </c>
      <c r="F8" s="5" t="s">
        <v>390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34.0"/>
    <col customWidth="1" min="3" max="3" width="26.0"/>
    <col customWidth="1" min="4" max="4" width="22.0"/>
    <col customWidth="1" min="5" max="5" width="14.0"/>
    <col customWidth="1" min="6" max="6" width="18.0"/>
    <col customWidth="1" min="7" max="7" width="30.0"/>
    <col customWidth="1" min="8" max="8" width="12.0"/>
    <col customWidth="1" min="9" max="26" width="8.71"/>
  </cols>
  <sheetData>
    <row r="1" ht="21.75" customHeight="1">
      <c r="A1" s="1" t="s">
        <v>391</v>
      </c>
      <c r="B1" s="2"/>
      <c r="C1" s="2"/>
      <c r="D1" s="2"/>
      <c r="E1" s="2"/>
      <c r="F1" s="2"/>
      <c r="G1" s="2"/>
      <c r="H1" s="3"/>
    </row>
    <row r="2" ht="21.75" customHeight="1"/>
    <row r="3" ht="21.75" customHeight="1">
      <c r="A3" s="6" t="s">
        <v>392</v>
      </c>
      <c r="B3" s="6" t="s">
        <v>393</v>
      </c>
      <c r="C3" s="6" t="s">
        <v>394</v>
      </c>
      <c r="D3" s="6" t="s">
        <v>395</v>
      </c>
      <c r="E3" s="6" t="s">
        <v>396</v>
      </c>
      <c r="F3" s="6" t="s">
        <v>397</v>
      </c>
      <c r="G3" s="6" t="s">
        <v>398</v>
      </c>
      <c r="H3" s="6" t="s">
        <v>18</v>
      </c>
    </row>
    <row r="4">
      <c r="A4" s="5">
        <v>1.0</v>
      </c>
      <c r="B4" s="5" t="s">
        <v>399</v>
      </c>
      <c r="C4" s="5" t="s">
        <v>400</v>
      </c>
      <c r="D4" s="5" t="s">
        <v>401</v>
      </c>
      <c r="E4" s="5" t="s">
        <v>402</v>
      </c>
      <c r="F4" s="5" t="s">
        <v>351</v>
      </c>
      <c r="G4" s="5" t="s">
        <v>403</v>
      </c>
      <c r="H4" s="5" t="s">
        <v>404</v>
      </c>
    </row>
    <row r="5">
      <c r="A5" s="5">
        <v>2.0</v>
      </c>
      <c r="B5" s="5" t="s">
        <v>405</v>
      </c>
      <c r="C5" s="5" t="s">
        <v>406</v>
      </c>
      <c r="D5" s="5" t="s">
        <v>407</v>
      </c>
      <c r="E5" s="5" t="s">
        <v>408</v>
      </c>
      <c r="F5" s="5" t="s">
        <v>360</v>
      </c>
      <c r="G5" s="5" t="s">
        <v>409</v>
      </c>
      <c r="H5" s="5" t="s">
        <v>332</v>
      </c>
    </row>
    <row r="6">
      <c r="A6" s="5">
        <v>3.0</v>
      </c>
      <c r="B6" s="5" t="s">
        <v>410</v>
      </c>
      <c r="C6" s="5" t="s">
        <v>411</v>
      </c>
      <c r="D6" s="5" t="s">
        <v>412</v>
      </c>
      <c r="E6" s="5" t="s">
        <v>413</v>
      </c>
      <c r="F6" s="5" t="s">
        <v>414</v>
      </c>
      <c r="G6" s="5" t="s">
        <v>415</v>
      </c>
      <c r="H6" s="5" t="s">
        <v>332</v>
      </c>
    </row>
    <row r="7">
      <c r="A7" s="5">
        <v>4.0</v>
      </c>
      <c r="B7" s="5" t="s">
        <v>416</v>
      </c>
      <c r="C7" s="5" t="s">
        <v>417</v>
      </c>
      <c r="D7" s="5" t="s">
        <v>418</v>
      </c>
      <c r="E7" s="5" t="s">
        <v>419</v>
      </c>
      <c r="F7" s="5" t="s">
        <v>420</v>
      </c>
      <c r="G7" s="5" t="s">
        <v>421</v>
      </c>
      <c r="H7" s="5" t="s">
        <v>332</v>
      </c>
    </row>
    <row r="8">
      <c r="A8" s="5">
        <v>5.0</v>
      </c>
      <c r="B8" s="5" t="s">
        <v>422</v>
      </c>
      <c r="C8" s="5" t="s">
        <v>423</v>
      </c>
      <c r="D8" s="5" t="s">
        <v>424</v>
      </c>
      <c r="E8" s="5" t="s">
        <v>425</v>
      </c>
      <c r="F8" s="5" t="s">
        <v>426</v>
      </c>
      <c r="G8" s="5" t="s">
        <v>427</v>
      </c>
      <c r="H8" s="5" t="s">
        <v>332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2026-03-25T01:20:16Z</dcterms:created>
  <dc:creator>openpyxl</dc:creator>
</cp:coreProperties>
</file>