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amilies_master" sheetId="2" state="visible" r:id="rId2"/>
    <sheet xmlns:r="http://schemas.openxmlformats.org/officeDocument/2006/relationships" name="screening_master" sheetId="3" state="visible" r:id="rId3"/>
    <sheet xmlns:r="http://schemas.openxmlformats.org/officeDocument/2006/relationships" name="shortlist_post_screening" sheetId="4" state="visible" r:id="rId4"/>
    <sheet xmlns:r="http://schemas.openxmlformats.org/officeDocument/2006/relationships" name="coverage_find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color rgb="00333A47"/>
      <sz val="10"/>
    </font>
  </fonts>
  <fills count="4">
    <fill>
      <patternFill/>
    </fill>
    <fill>
      <patternFill patternType="gray125"/>
    </fill>
    <fill>
      <patternFill patternType="solid">
        <fgColor rgb="00333A47"/>
      </patternFill>
    </fill>
    <fill>
      <patternFill patternType="solid">
        <fgColor rgb="00F0F0F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amiliesmaster" displayName="familiesmaster" ref="A1:S26" headerRowCount="1">
  <autoFilter ref="A1:S26"/>
  <tableColumns count="19">
    <tableColumn id="1" name="family_id"/>
    <tableColumn id="2" name="family"/>
    <tableColumn id="3" name="anchor_publication"/>
    <tableColumn id="4" name="title"/>
    <tableColumn id="5" name="assignee"/>
    <tableColumn id="6" name="priority_date"/>
    <tableColumn id="7" name="expiry_estimate"/>
    <tableColumn id="8" name="jurisdictions"/>
    <tableColumn id="9" name="legal_status"/>
    <tableColumn id="10" name="module"/>
    <tableColumn id="11" name="cluster"/>
    <tableColumn id="12" name="analytical_role"/>
    <tableColumn id="13" name="tier"/>
    <tableColumn id="14" name="tier1_flag"/>
    <tableColumn id="15" name="source_package"/>
    <tableColumn id="16" name="screening_conclusion"/>
    <tableColumn id="17" name="next_action"/>
    <tableColumn id="18" name="notes"/>
    <tableColumn id="19" name="source_url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creeningmaster" displayName="screeningmaster" ref="A1:N26" headerRowCount="1">
  <autoFilter ref="A1:N26"/>
  <tableColumns count="14">
    <tableColumn id="1" name="family_id"/>
    <tableColumn id="2" name="family"/>
    <tableColumn id="3" name="analytical_role"/>
    <tableColumn id="4" name="tier"/>
    <tableColumn id="5" name="tier1_flag"/>
    <tableColumn id="6" name="active_flag"/>
    <tableColumn id="7" name="international_coverage_score"/>
    <tableColumn id="8" name="technical_proximity_score"/>
    <tableColumn id="9" name="claim_chart_maturity_score"/>
    <tableColumn id="10" name="prior_art_value_score"/>
    <tableColumn id="11" name="status_pending_score"/>
    <tableColumn id="12" name="screening_score"/>
    <tableColumn id="13" name="screening_traffic_light"/>
    <tableColumn id="14" name="shortlist_flag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shortlistpostscreeni" displayName="shortlistpostscreeni" ref="A1:J5" headerRowCount="1">
  <autoFilter ref="A1:J5"/>
  <tableColumns count="10">
    <tableColumn id="1" name="family_id"/>
    <tableColumn id="2" name="family"/>
    <tableColumn id="3" name="analytical_role"/>
    <tableColumn id="4" name="tier"/>
    <tableColumn id="5" name="suggested_action"/>
    <tableColumn id="6" name="operational_state"/>
    <tableColumn id="7" name="source_url"/>
    <tableColumn id="8" name="screening_score"/>
    <tableColumn id="9" name="screening_traffic_light"/>
    <tableColumn id="10" name="shortlist_flag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coveragefindings" displayName="coveragefindings" ref="A1:F7" headerRowCount="1">
  <autoFilter ref="A1:F7"/>
  <tableColumns count="6">
    <tableColumn id="1" name="indicator"/>
    <tableColumn id="2" name="value"/>
    <tableColumn id="3" name="reading"/>
    <tableColumn id="4" name="source_base"/>
    <tableColumn id="5" name="criterion"/>
    <tableColumn id="6" name="commen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notice</t>
        </is>
      </c>
    </row>
    <row r="2">
      <c r="A2" s="2" t="inlineStr">
        <is>
          <t>Normalized workbook for Streamlit ingestion. Row 1 is always header in data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20" customWidth="1" min="3" max="3"/>
    <col width="42" customWidth="1" min="4" max="4"/>
    <col width="42" customWidth="1" min="5" max="5"/>
    <col width="15" customWidth="1" min="6" max="6"/>
    <col width="38" customWidth="1" min="7" max="7"/>
    <col width="42" customWidth="1" min="8" max="8"/>
    <col width="42" customWidth="1" min="9" max="9"/>
    <col width="42" customWidth="1" min="10" max="10"/>
    <col width="12" customWidth="1" min="11" max="11"/>
    <col width="41" customWidth="1" min="12" max="12"/>
    <col width="12" customWidth="1" min="13" max="13"/>
    <col width="12" customWidth="1" min="14" max="14"/>
    <col width="42" customWidth="1" min="15" max="15"/>
    <col width="33" customWidth="1" min="16" max="16"/>
    <col width="42" customWidth="1" min="17" max="17"/>
    <col width="42" customWidth="1" min="18" max="18"/>
    <col width="42" customWidth="1" min="19" max="19"/>
  </cols>
  <sheetData>
    <row r="1">
      <c r="A1" s="1" t="inlineStr">
        <is>
          <t>family_id</t>
        </is>
      </c>
      <c r="B1" s="1" t="inlineStr">
        <is>
          <t>family</t>
        </is>
      </c>
      <c r="C1" s="1" t="inlineStr">
        <is>
          <t>anchor_publication</t>
        </is>
      </c>
      <c r="D1" s="1" t="inlineStr">
        <is>
          <t>title</t>
        </is>
      </c>
      <c r="E1" s="1" t="inlineStr">
        <is>
          <t>assignee</t>
        </is>
      </c>
      <c r="F1" s="1" t="inlineStr">
        <is>
          <t>priority_date</t>
        </is>
      </c>
      <c r="G1" s="1" t="inlineStr">
        <is>
          <t>expiry_estimate</t>
        </is>
      </c>
      <c r="H1" s="1" t="inlineStr">
        <is>
          <t>jurisdictions</t>
        </is>
      </c>
      <c r="I1" s="1" t="inlineStr">
        <is>
          <t>legal_status</t>
        </is>
      </c>
      <c r="J1" s="1" t="inlineStr">
        <is>
          <t>module</t>
        </is>
      </c>
      <c r="K1" s="1" t="inlineStr">
        <is>
          <t>cluster</t>
        </is>
      </c>
      <c r="L1" s="1" t="inlineStr">
        <is>
          <t>analytical_role</t>
        </is>
      </c>
      <c r="M1" s="1" t="inlineStr">
        <is>
          <t>tier</t>
        </is>
      </c>
      <c r="N1" s="1" t="inlineStr">
        <is>
          <t>tier1_flag</t>
        </is>
      </c>
      <c r="O1" s="1" t="inlineStr">
        <is>
          <t>source_package</t>
        </is>
      </c>
      <c r="P1" s="1" t="inlineStr">
        <is>
          <t>screening_conclusion</t>
        </is>
      </c>
      <c r="Q1" s="1" t="inlineStr">
        <is>
          <t>next_action</t>
        </is>
      </c>
      <c r="R1" s="1" t="inlineStr">
        <is>
          <t>notes</t>
        </is>
      </c>
      <c r="S1" s="1" t="inlineStr">
        <is>
          <t>source_url</t>
        </is>
      </c>
    </row>
    <row r="2">
      <c r="A2" s="2" t="inlineStr">
        <is>
          <t>NOV-C001</t>
        </is>
      </c>
      <c r="B2" s="2" t="inlineStr">
        <is>
          <t>CN105540620 / US9005557 / WO2012099637</t>
        </is>
      </c>
      <c r="C2" s="2" t="inlineStr">
        <is>
          <t>US9005557</t>
        </is>
      </c>
      <c r="D2" s="2" t="inlineStr">
        <is>
          <t>Production of high purity Li compounds directly from Li-containing brines</t>
        </is>
      </c>
      <c r="E2" s="2" t="inlineStr">
        <is>
          <t>Albemarle (ex-Rockwood Lithium)</t>
        </is>
      </c>
      <c r="F2" s="2" t="inlineStr">
        <is>
          <t>2011-01-20</t>
        </is>
      </c>
      <c r="G2" s="2" t="inlineStr">
        <is>
          <t>2032-10-28 (US adjusted)</t>
        </is>
      </c>
      <c r="H2" s="2" t="inlineStr">
        <is>
          <t>US, CN, CL?, CA, AR; WO ceased; EP withdrawn</t>
        </is>
      </c>
      <c r="I2" s="2" t="inlineStr">
        <is>
          <t>Active grant present</t>
        </is>
      </c>
      <c r="J2" s="2" t="inlineStr">
        <is>
          <t>M2 KCl/reacción; M3 cristalización; M8 flowsheet</t>
        </is>
      </c>
      <c r="K2" s="2" t="inlineStr">
        <is>
          <t>A/B</t>
        </is>
      </c>
      <c r="L2" s="2" t="inlineStr">
        <is>
          <t>Blocking risk + claim chart</t>
        </is>
      </c>
      <c r="M2" s="2" t="inlineStr">
        <is>
          <t>Tier 1</t>
        </is>
      </c>
      <c r="N2" s="2" t="inlineStr">
        <is>
          <t>Sí</t>
        </is>
      </c>
      <c r="O2" s="2" t="inlineStr">
        <is>
          <t>Top10 + ClaimChart Profundo + Dashboard Tier1</t>
        </is>
      </c>
      <c r="P2" s="2" t="inlineStr">
        <is>
          <t>Mantener crítica</t>
        </is>
      </c>
      <c r="Q2" s="2" t="inlineStr">
        <is>
          <t>Verificar miembros CL/AR/CA y maintenance US; claim chart profundo ya iniciado</t>
        </is>
      </c>
      <c r="R2" s="2" t="inlineStr">
        <is>
          <t>Familia más sensible del eje KCl-carnallita. Riesgo subsiste por grant US aunque PCT/EP no bloqueen autónomamente.</t>
        </is>
      </c>
      <c r="S2" s="2" t="inlineStr">
        <is>
          <t>https://patents.google.com/patent/US9005557/en</t>
        </is>
      </c>
    </row>
    <row r="3">
      <c r="A3" s="3" t="inlineStr">
        <is>
          <t>NOV-C002</t>
        </is>
      </c>
      <c r="B3" s="3" t="inlineStr">
        <is>
          <t>US11219863 / CN109368670 / WO2020073611</t>
        </is>
      </c>
      <c r="C3" s="3" t="inlineStr">
        <is>
          <t>US11219863B2</t>
        </is>
      </c>
      <c r="D3" s="3" t="inlineStr">
        <is>
          <t>Method for separation and enrichment of lithium</t>
        </is>
      </c>
      <c r="E3" s="3" t="inlineStr">
        <is>
          <t>Qinghai Institute of Salt Lakes, CAS</t>
        </is>
      </c>
      <c r="F3" s="3" t="inlineStr">
        <is>
          <t>2018-10-10</t>
        </is>
      </c>
      <c r="G3" s="3" t="inlineStr">
        <is>
          <t>2039-03-19 (US anticipated)</t>
        </is>
      </c>
      <c r="H3" s="3" t="inlineStr">
        <is>
          <t>US, CN; WO ceased</t>
        </is>
      </c>
      <c r="I3" s="3" t="inlineStr">
        <is>
          <t>Active grant present</t>
        </is>
      </c>
      <c r="J3" s="3" t="inlineStr">
        <is>
          <t>M5 NF; M6 RO/ED downstream; M8 flowsheet</t>
        </is>
      </c>
      <c r="K3" s="3" t="inlineStr">
        <is>
          <t>C/D</t>
        </is>
      </c>
      <c r="L3" s="3" t="inlineStr">
        <is>
          <t>Blocking risk + claim chart</t>
        </is>
      </c>
      <c r="M3" s="3" t="inlineStr">
        <is>
          <t>Tier 1</t>
        </is>
      </c>
      <c r="N3" s="3" t="inlineStr">
        <is>
          <t>Sí</t>
        </is>
      </c>
      <c r="O3" s="3" t="inlineStr">
        <is>
          <t>Top10 + ClaimChart Profundo + Dashboard Tier1</t>
        </is>
      </c>
      <c r="P3" s="3" t="inlineStr">
        <is>
          <t>Mantener crítica</t>
        </is>
      </c>
      <c r="Q3" s="3" t="inlineStr">
        <is>
          <t>Corroborar CN oficial; profundizar diferencias de feed vs post-crystallization liquor</t>
        </is>
      </c>
      <c r="R3" s="3" t="inlineStr">
        <is>
          <t>Ruta NF/RO/ED desde aged brine. Relevancia alta por claims activos US y miembro CN de familia.</t>
        </is>
      </c>
      <c r="S3" s="3" t="inlineStr">
        <is>
          <t>https://patents.google.com/patent/US11219863B2/en</t>
        </is>
      </c>
    </row>
    <row r="4">
      <c r="A4" s="2" t="inlineStr">
        <is>
          <t>NOV-C003</t>
        </is>
      </c>
      <c r="B4" s="2" t="inlineStr">
        <is>
          <t>US11203542 / CN110603339 / WO2018208305</t>
        </is>
      </c>
      <c r="C4" s="2" t="inlineStr">
        <is>
          <t>US11203542B2</t>
        </is>
      </c>
      <c r="D4" s="2" t="inlineStr">
        <is>
          <t>Method for softening lithium brine using nanofiltration</t>
        </is>
      </c>
      <c r="E4" s="2" t="inlineStr">
        <is>
          <t>BL Technologies / Veolia (ex-GE Water)</t>
        </is>
      </c>
      <c r="F4" s="2" t="inlineStr">
        <is>
          <t>2017-05-11</t>
        </is>
      </c>
      <c r="G4" s="2" t="inlineStr">
        <is>
          <t>2037-08-12 (US adjusted)</t>
        </is>
      </c>
      <c r="H4" s="2" t="inlineStr">
        <is>
          <t>US, CN, AR, CL?, WO</t>
        </is>
      </c>
      <c r="I4" s="2" t="inlineStr">
        <is>
          <t>Active grant present</t>
        </is>
      </c>
      <c r="J4" s="2" t="inlineStr">
        <is>
          <t>M5 NF; pretratamiento sulfato; M8 flowsheet parcial</t>
        </is>
      </c>
      <c r="K4" s="2" t="inlineStr">
        <is>
          <t>C</t>
        </is>
      </c>
      <c r="L4" s="2" t="inlineStr">
        <is>
          <t>Blocking risk + claim chart</t>
        </is>
      </c>
      <c r="M4" s="2" t="inlineStr">
        <is>
          <t>Tier 1</t>
        </is>
      </c>
      <c r="N4" s="2" t="inlineStr">
        <is>
          <t>Sí</t>
        </is>
      </c>
      <c r="O4" s="2" t="inlineStr">
        <is>
          <t>Top10 + ClaimChart Tier1 Complemento + Dashboard Tier1</t>
        </is>
      </c>
      <c r="P4" s="2" t="inlineStr">
        <is>
          <t>Mantener crítica</t>
        </is>
      </c>
      <c r="Q4" s="2" t="inlineStr">
        <is>
          <t>Confirmar contraparte CL si existe activa; cerrar lectura claim-by-claim dependientes críticos</t>
        </is>
      </c>
      <c r="R4" s="2" t="inlineStr">
        <is>
          <t>NF multipaso con dosificación de sulfato. Riesgo centrado en claims de softening por NF más que en el flowsheet completo.</t>
        </is>
      </c>
      <c r="S4" s="2" t="inlineStr">
        <is>
          <t>https://patents.google.com/patent/US11203542B2/en</t>
        </is>
      </c>
    </row>
    <row r="5">
      <c r="A5" s="3" t="inlineStr">
        <is>
          <t>NOV-C004</t>
        </is>
      </c>
      <c r="B5" s="3" t="inlineStr">
        <is>
          <t>CN103074502</t>
        </is>
      </c>
      <c r="C5" s="3" t="inlineStr">
        <is>
          <t>CN103074502B</t>
        </is>
      </c>
      <c r="D5" s="3" t="inlineStr">
        <is>
          <t>Salt lake brine treatment for separating Li from high-Mg/Li-ratio brine</t>
        </is>
      </c>
      <c r="E5" s="3" t="inlineStr">
        <is>
          <t>Minmetals Salt Lake + Qinghai ISL (CAS)</t>
        </is>
      </c>
      <c r="F5" s="3" t="inlineStr">
        <is>
          <t>2013-01-29</t>
        </is>
      </c>
      <c r="G5" s="3" t="inlineStr">
        <is>
          <t>~2033</t>
        </is>
      </c>
      <c r="H5" s="3" t="inlineStr">
        <is>
          <t>CN</t>
        </is>
      </c>
      <c r="I5" s="3" t="inlineStr">
        <is>
          <t>Active grant present</t>
        </is>
      </c>
      <c r="J5" s="3" t="inlineStr">
        <is>
          <t>M1 evaporación; M4 dilución; M5 NF; M6 RO; M7 agua</t>
        </is>
      </c>
      <c r="K5" s="3" t="inlineStr">
        <is>
          <t>A/C/D</t>
        </is>
      </c>
      <c r="L5" s="3" t="inlineStr">
        <is>
          <t>Blocking risk CN + claim chart</t>
        </is>
      </c>
      <c r="M5" s="3" t="inlineStr">
        <is>
          <t>Tier 1</t>
        </is>
      </c>
      <c r="N5" s="3" t="inlineStr">
        <is>
          <t>Sí</t>
        </is>
      </c>
      <c r="O5" s="3" t="inlineStr">
        <is>
          <t>Top10 + ClaimChart Tier1 Complemento + Dashboard Tier1</t>
        </is>
      </c>
      <c r="P5" s="3" t="inlineStr">
        <is>
          <t>Mantener crítica</t>
        </is>
      </c>
      <c r="Q5" s="3" t="inlineStr">
        <is>
          <t>Validar status CNIPA si se escala a opinión formal; documentar diferenciación carnallita/bischofita</t>
        </is>
      </c>
      <c r="R5" s="3" t="inlineStr">
        <is>
          <t>Estructuralmente cercana en eje evaporación→NF→RO, aunque con química distinta (bischofita vs carnallita).</t>
        </is>
      </c>
      <c r="S5" s="3" t="inlineStr">
        <is>
          <t>https://patents.google.com/patent/CN103074502B/en</t>
        </is>
      </c>
    </row>
    <row r="6">
      <c r="A6" s="2" t="inlineStr">
        <is>
          <t>NOV-C005</t>
        </is>
      </c>
      <c r="B6" s="2" t="inlineStr">
        <is>
          <t>CN103572071</t>
        </is>
      </c>
      <c r="C6" s="2" t="inlineStr">
        <is>
          <t>CN103572071B</t>
        </is>
      </c>
      <c r="D6" s="2" t="inlineStr">
        <is>
          <t>Method for refining Li from high Mg/Li ratio salt lake brine</t>
        </is>
      </c>
      <c r="E6" s="2" t="inlineStr">
        <is>
          <t>Qinghai Institute of Salt Lakes, CAS</t>
        </is>
      </c>
      <c r="F6" s="2" t="inlineStr">
        <is>
          <t>2013-11-15</t>
        </is>
      </c>
      <c r="G6" s="2" t="inlineStr">
        <is>
          <t>~2033</t>
        </is>
      </c>
      <c r="H6" s="2" t="inlineStr">
        <is>
          <t>CN</t>
        </is>
      </c>
      <c r="I6" s="2" t="inlineStr">
        <is>
          <t>Granted CN (a verificar fino)</t>
        </is>
      </c>
      <c r="J6" s="2" t="inlineStr">
        <is>
          <t>M1 evaporación; M5 NF; M6 RO; remoción sulfato/boro</t>
        </is>
      </c>
      <c r="K6" s="2" t="inlineStr">
        <is>
          <t>C/D</t>
        </is>
      </c>
      <c r="L6" s="2" t="inlineStr">
        <is>
          <t>Monitor / FTO periférico</t>
        </is>
      </c>
      <c r="M6" s="2" t="inlineStr">
        <is>
          <t>Tier 2</t>
        </is>
      </c>
      <c r="N6" s="2" t="inlineStr">
        <is>
          <t>No</t>
        </is>
      </c>
      <c r="O6" s="2" t="inlineStr">
        <is>
          <t>FTO_Novandino + Matriz inicial</t>
        </is>
      </c>
      <c r="P6" s="2" t="inlineStr">
        <is>
          <t>Monitor</t>
        </is>
      </c>
      <c r="Q6" s="2" t="inlineStr">
        <is>
          <t>Mantener en shortlist extendida y revisar si entra a FTO formal post-screening</t>
        </is>
      </c>
      <c r="R6" s="2" t="inlineStr">
        <is>
          <t>Secuencia integrada con remoción de sulfato y boro. Menor cercanía por upstream chemistry distinta.</t>
        </is>
      </c>
      <c r="S6" s="2" t="inlineStr">
        <is>
          <t>https://patents.google.com/patent/CN103572071B/en</t>
        </is>
      </c>
    </row>
    <row r="7">
      <c r="A7" s="3" t="inlineStr">
        <is>
          <t>NOV-C006</t>
        </is>
      </c>
      <c r="B7" s="3" t="inlineStr">
        <is>
          <t>DE102015000872</t>
        </is>
      </c>
      <c r="C7" s="3" t="inlineStr">
        <is>
          <t>DE102015000872A1</t>
        </is>
      </c>
      <c r="D7" s="3" t="inlineStr">
        <is>
          <t>Method for recovering lithium chloride from natural brines</t>
        </is>
      </c>
      <c r="E7" s="3" t="inlineStr">
        <is>
          <t>K-UTEC AG Salt Technologies (probable)</t>
        </is>
      </c>
      <c r="F7" s="3" t="inlineStr">
        <is>
          <t>2015-01-23</t>
        </is>
      </c>
      <c r="G7" s="3" t="inlineStr">
        <is>
          <t>~2035 si grant</t>
        </is>
      </c>
      <c r="H7" s="3" t="inlineStr">
        <is>
          <t>DE</t>
        </is>
      </c>
      <c r="I7" s="3" t="inlineStr">
        <is>
          <t>Published only / verify grant</t>
        </is>
      </c>
      <c r="J7" s="3" t="inlineStr">
        <is>
          <t>M2 KCl; M3 evaporación al vacío; M8 flowsheet</t>
        </is>
      </c>
      <c r="K7" s="3" t="inlineStr">
        <is>
          <t>A/B</t>
        </is>
      </c>
      <c r="L7" s="3" t="inlineStr">
        <is>
          <t>Monitor + verify status</t>
        </is>
      </c>
      <c r="M7" s="3" t="inlineStr">
        <is>
          <t>Tier 2</t>
        </is>
      </c>
      <c r="N7" s="3" t="inlineStr">
        <is>
          <t>No</t>
        </is>
      </c>
      <c r="O7" s="3" t="inlineStr">
        <is>
          <t>FTO_Novandino + Matriz inicial</t>
        </is>
      </c>
      <c r="P7" s="3" t="inlineStr">
        <is>
          <t>Pendiente status</t>
        </is>
      </c>
      <c r="Q7" s="3" t="inlineStr">
        <is>
          <t>Verificar si hubo grant o familia EP; no asumir bloqueo mientras no cierre status</t>
        </is>
      </c>
      <c r="R7" s="3" t="inlineStr">
        <is>
          <t>Interesa por combinación KCl + vacío, pero alcance territorial y status son inciertos.</t>
        </is>
      </c>
      <c r="S7" s="3" t="inlineStr">
        <is>
          <t>https://patents.google.com/patent/DE102015000872A1/en</t>
        </is>
      </c>
    </row>
    <row r="8">
      <c r="A8" s="2" t="inlineStr">
        <is>
          <t>NOV-C007</t>
        </is>
      </c>
      <c r="B8" s="2" t="inlineStr">
        <is>
          <t>US8641992</t>
        </is>
      </c>
      <c r="C8" s="2" t="inlineStr">
        <is>
          <t>US8641992B2</t>
        </is>
      </c>
      <c r="D8" s="2" t="inlineStr">
        <is>
          <t>Process for recovering lithium from a brine</t>
        </is>
      </c>
      <c r="E8" s="2" t="inlineStr">
        <is>
          <t>ADY Resources / Arcadium (ex-Rincon Lithium)</t>
        </is>
      </c>
      <c r="F8" s="2" t="inlineStr">
        <is>
          <t>2008-07-18</t>
        </is>
      </c>
      <c r="G8" s="2" t="inlineStr">
        <is>
          <t>~2029</t>
        </is>
      </c>
      <c r="H8" s="2" t="inlineStr">
        <is>
          <t>US, AU</t>
        </is>
      </c>
      <c r="I8" s="2" t="inlineStr">
        <is>
          <t>Active / nearing expiry</t>
        </is>
      </c>
      <c r="J8" s="2" t="inlineStr">
        <is>
          <t>M1 evaporación; M7 recuperación condensado; química NaOH/lime</t>
        </is>
      </c>
      <c r="K8" s="2" t="inlineStr">
        <is>
          <t>D</t>
        </is>
      </c>
      <c r="L8" s="2" t="inlineStr">
        <is>
          <t>Monitor / prior art contrastivo</t>
        </is>
      </c>
      <c r="M8" s="2" t="inlineStr">
        <is>
          <t>Tier 3</t>
        </is>
      </c>
      <c r="N8" s="2" t="inlineStr">
        <is>
          <t>No</t>
        </is>
      </c>
      <c r="O8" s="2" t="inlineStr">
        <is>
          <t>FTO_Novandino + Matriz inicial</t>
        </is>
      </c>
      <c r="P8" s="2" t="inlineStr">
        <is>
          <t>Monitor bajo</t>
        </is>
      </c>
      <c r="Q8" s="2" t="inlineStr">
        <is>
          <t>Mantener como referencia de diferenciación y vigilar expiración</t>
        </is>
      </c>
      <c r="R8" s="2" t="inlineStr">
        <is>
          <t>Diferenciador útil: Mg removal con cal/soda, sin KCl ni NF.</t>
        </is>
      </c>
      <c r="S8" s="2" t="inlineStr">
        <is>
          <t>https://patents.google.com/patent/US8641992B2/en</t>
        </is>
      </c>
    </row>
    <row r="9">
      <c r="A9" s="3" t="inlineStr">
        <is>
          <t>NOV-C008</t>
        </is>
      </c>
      <c r="B9" s="3" t="inlineStr">
        <is>
          <t>CN105540619</t>
        </is>
      </c>
      <c r="C9" s="3" t="inlineStr">
        <is>
          <t>CN105540619B</t>
        </is>
      </c>
      <c r="D9" s="3" t="inlineStr">
        <is>
          <t>Battery-grade Li2CO3 from high Mg/Li ratio brine</t>
        </is>
      </c>
      <c r="E9" s="3" t="inlineStr">
        <is>
          <t>Qinghai Lithium Industry Co.</t>
        </is>
      </c>
      <c r="F9" s="3" t="inlineStr">
        <is>
          <t>2015-08-17</t>
        </is>
      </c>
      <c r="G9" s="3" t="inlineStr">
        <is>
          <t>~2035</t>
        </is>
      </c>
      <c r="H9" s="3" t="inlineStr">
        <is>
          <t>CN</t>
        </is>
      </c>
      <c r="I9" s="3" t="inlineStr">
        <is>
          <t>Granted CN (a verificar fino)</t>
        </is>
      </c>
      <c r="J9" s="3" t="inlineStr">
        <is>
          <t>M8 ruta integrada a producto</t>
        </is>
      </c>
      <c r="K9" s="3" t="inlineStr">
        <is>
          <t>D</t>
        </is>
      </c>
      <c r="L9" s="3" t="inlineStr">
        <is>
          <t>Monitor</t>
        </is>
      </c>
      <c r="M9" s="3" t="inlineStr">
        <is>
          <t>Tier 2</t>
        </is>
      </c>
      <c r="N9" s="3" t="inlineStr">
        <is>
          <t>No</t>
        </is>
      </c>
      <c r="O9" s="3" t="inlineStr">
        <is>
          <t>Matriz inicial + screening previo</t>
        </is>
      </c>
      <c r="P9" s="3" t="inlineStr">
        <is>
          <t>Monitor</t>
        </is>
      </c>
      <c r="Q9" s="3" t="inlineStr">
        <is>
          <t>Mantener como familia contexto, no claim chart inmediato</t>
        </is>
      </c>
      <c r="R9" s="3" t="inlineStr">
        <is>
          <t>Relevancia más ligada a ruta integrada a producto que al core KCl/NF actual.</t>
        </is>
      </c>
      <c r="S9" s="3" t="inlineStr">
        <is>
          <t>https://patents.google.com/patent/CN105540619B/en</t>
        </is>
      </c>
    </row>
    <row r="10">
      <c r="A10" s="2" t="inlineStr">
        <is>
          <t>NOV-C009</t>
        </is>
      </c>
      <c r="B10" s="2" t="inlineStr">
        <is>
          <t>CN114735726 / WO2023159899 / US20240262704</t>
        </is>
      </c>
      <c r="C10" s="2" t="inlineStr">
        <is>
          <t>CN114735726B</t>
        </is>
      </c>
      <c r="D10" s="2" t="inlineStr">
        <is>
          <t>CaCl2-type brine evaporating and Mg-removing process</t>
        </is>
      </c>
      <c r="E10" s="2" t="inlineStr">
        <is>
          <t>Chinese entity</t>
        </is>
      </c>
      <c r="F10" s="2" t="inlineStr">
        <is>
          <t>2022-xx-xx</t>
        </is>
      </c>
      <c r="G10" s="2" t="inlineStr">
        <is>
          <t>~2042</t>
        </is>
      </c>
      <c r="H10" s="2" t="inlineStr">
        <is>
          <t>CN, WO, US, CL, GB, ES (family visible)</t>
        </is>
      </c>
      <c r="I10" s="2" t="inlineStr">
        <is>
          <t>Recent family with international footprint</t>
        </is>
      </c>
      <c r="J10" s="2" t="inlineStr">
        <is>
          <t>M1 evaporación; M2 Mg-removal chemistry</t>
        </is>
      </c>
      <c r="K10" s="2" t="inlineStr">
        <is>
          <t>A/D</t>
        </is>
      </c>
      <c r="L10" s="2" t="inlineStr">
        <is>
          <t>Monitor crítico / vigilancia</t>
        </is>
      </c>
      <c r="M10" s="2" t="inlineStr">
        <is>
          <t>Tier 2</t>
        </is>
      </c>
      <c r="N10" s="2" t="inlineStr">
        <is>
          <t>No</t>
        </is>
      </c>
      <c r="O10" s="2" t="inlineStr">
        <is>
          <t>Top10 + screening analítico</t>
        </is>
      </c>
      <c r="P10" s="2" t="inlineStr">
        <is>
          <t>Monitor reforzado</t>
        </is>
      </c>
      <c r="Q10" s="2" t="inlineStr">
        <is>
          <t>Revisar prosecution y claims en US/WO/CL si avanzan</t>
        </is>
      </c>
      <c r="R10" s="2" t="inlineStr">
        <is>
          <t>Sube de prioridad por huella internacional reciente. No bloqueo directo aún, pero alta necesidad de monitoreo.</t>
        </is>
      </c>
      <c r="S10" s="2" t="inlineStr">
        <is>
          <t>https://patents.google.com/patent/CN114735726B/en</t>
        </is>
      </c>
    </row>
    <row r="11">
      <c r="A11" s="3" t="inlineStr">
        <is>
          <t>NOV-C010</t>
        </is>
      </c>
      <c r="B11" s="3" t="inlineStr">
        <is>
          <t>CN116161680</t>
        </is>
      </c>
      <c r="C11" s="3" t="inlineStr">
        <is>
          <t>CN116161680B</t>
        </is>
      </c>
      <c r="D11" s="3" t="inlineStr">
        <is>
          <t>Process for producing KCl by using primary carnallite ore</t>
        </is>
      </c>
      <c r="E11" s="3" t="inlineStr">
        <is>
          <t>Bluestar Lehigh Engineering</t>
        </is>
      </c>
      <c r="F11" s="3" t="inlineStr">
        <is>
          <t>2022-12-19</t>
        </is>
      </c>
      <c r="G11" s="3" t="inlineStr">
        <is>
          <t>~2042</t>
        </is>
      </c>
      <c r="H11" s="3" t="inlineStr">
        <is>
          <t>CN</t>
        </is>
      </c>
      <c r="I11" s="3" t="inlineStr">
        <is>
          <t>Granted CN / non-core</t>
        </is>
      </c>
      <c r="J11" s="3" t="inlineStr">
        <is>
          <t>M2/M3 carnallita-KCl</t>
        </is>
      </c>
      <c r="K11" s="3" t="inlineStr">
        <is>
          <t>B</t>
        </is>
      </c>
      <c r="L11" s="3" t="inlineStr">
        <is>
          <t>Monitor técnico</t>
        </is>
      </c>
      <c r="M11" s="3" t="inlineStr">
        <is>
          <t>Tier 3</t>
        </is>
      </c>
      <c r="N11" s="3" t="inlineStr">
        <is>
          <t>No</t>
        </is>
      </c>
      <c r="O11" s="3" t="inlineStr">
        <is>
          <t>Matriz inicial</t>
        </is>
      </c>
      <c r="P11" s="3" t="inlineStr">
        <is>
          <t>Monitor periférico</t>
        </is>
      </c>
      <c r="Q11" s="3" t="inlineStr">
        <is>
          <t>Mantener fuera de shortlist crítica salvo cambio de scope</t>
        </is>
      </c>
      <c r="R11" s="3" t="inlineStr">
        <is>
          <t>Más ligado a obtención de KCl desde mineral primario que a separación Li/Mg desde brine.</t>
        </is>
      </c>
      <c r="S11" s="3" t="inlineStr">
        <is>
          <t>https://patents.google.com/patent/CN116161680B/en</t>
        </is>
      </c>
    </row>
    <row r="12">
      <c r="A12" s="2" t="inlineStr">
        <is>
          <t>NOV-C011</t>
        </is>
      </c>
      <c r="B12" s="2" t="inlineStr">
        <is>
          <t>US8784755</t>
        </is>
      </c>
      <c r="C12" s="2" t="inlineStr">
        <is>
          <t>US8784755B2</t>
        </is>
      </c>
      <c r="D12" s="2" t="inlineStr">
        <is>
          <t>Process for obtaining potassium chloride from carnallite</t>
        </is>
      </c>
      <c r="E12" s="2" t="inlineStr">
        <is>
          <t>Vale-related (BR)</t>
        </is>
      </c>
      <c r="F12" s="2" t="inlineStr">
        <is>
          <t>~2008</t>
        </is>
      </c>
      <c r="G12" s="2" t="inlineStr">
        <is>
          <t>~2028</t>
        </is>
      </c>
      <c r="H12" s="2" t="inlineStr">
        <is>
          <t>US</t>
        </is>
      </c>
      <c r="I12" s="2" t="inlineStr">
        <is>
          <t>Granted / nearing expiry</t>
        </is>
      </c>
      <c r="J12" s="2" t="inlineStr">
        <is>
          <t>M2/M3 carnallita-KCl</t>
        </is>
      </c>
      <c r="K12" s="2" t="inlineStr">
        <is>
          <t>B</t>
        </is>
      </c>
      <c r="L12" s="2" t="inlineStr">
        <is>
          <t>Monitor técnico</t>
        </is>
      </c>
      <c r="M12" s="2" t="inlineStr">
        <is>
          <t>Tier 3</t>
        </is>
      </c>
      <c r="N12" s="2" t="inlineStr">
        <is>
          <t>No</t>
        </is>
      </c>
      <c r="O12" s="2" t="inlineStr">
        <is>
          <t>Matriz inicial</t>
        </is>
      </c>
      <c r="P12" s="2" t="inlineStr">
        <is>
          <t>Monitor periférico</t>
        </is>
      </c>
      <c r="Q12" s="2" t="inlineStr">
        <is>
          <t>Mantener en universo pero fuera de análisis profundo inmediato</t>
        </is>
      </c>
      <c r="R12" s="2" t="inlineStr">
        <is>
          <t>Relevancia secundaria; más útil como contexto de carnallita que como bloqueo directo al proceso Novandino.</t>
        </is>
      </c>
      <c r="S12" s="2" t="inlineStr">
        <is>
          <t>https://patents.google.com/patent/US8784755B2/en</t>
        </is>
      </c>
    </row>
    <row r="13">
      <c r="A13" s="3" t="inlineStr">
        <is>
          <t>NOV-C012</t>
        </is>
      </c>
      <c r="B13" s="3" t="inlineStr">
        <is>
          <t>US20240375972</t>
        </is>
      </c>
      <c r="C13" s="3" t="inlineStr">
        <is>
          <t>US20240375972A1</t>
        </is>
      </c>
      <c r="D13" s="3" t="inlineStr">
        <is>
          <t>Processes for recovering lithium from brines</t>
        </is>
      </c>
      <c r="E13" s="3" t="inlineStr">
        <is>
          <t>Albemarle Corporation</t>
        </is>
      </c>
      <c r="F13" s="3" t="inlineStr">
        <is>
          <t>2024-01-19</t>
        </is>
      </c>
      <c r="G13" s="3" t="inlineStr">
        <is>
          <t>Pending</t>
        </is>
      </c>
      <c r="H13" s="3" t="inlineStr">
        <is>
          <t>US (pending)</t>
        </is>
      </c>
      <c r="I13" s="3" t="inlineStr">
        <is>
          <t>Pending</t>
        </is>
      </c>
      <c r="J13" s="3" t="inlineStr">
        <is>
          <t>M8 broad brine processing</t>
        </is>
      </c>
      <c r="K13" s="3" t="inlineStr">
        <is>
          <t>A/C/D</t>
        </is>
      </c>
      <c r="L13" s="3" t="inlineStr">
        <is>
          <t>Monitor prosecution</t>
        </is>
      </c>
      <c r="M13" s="3" t="inlineStr">
        <is>
          <t>Tier 2</t>
        </is>
      </c>
      <c r="N13" s="3" t="inlineStr">
        <is>
          <t>No</t>
        </is>
      </c>
      <c r="O13" s="3" t="inlineStr">
        <is>
          <t>Matriz inicial</t>
        </is>
      </c>
      <c r="P13" s="3" t="inlineStr">
        <is>
          <t>Monitor pending</t>
        </is>
      </c>
      <c r="Q13" s="3" t="inlineStr">
        <is>
          <t>Monitoreo periódico de prosecution y claims enmendados</t>
        </is>
      </c>
      <c r="R13" s="3" t="inlineStr">
        <is>
          <t>No bloqueará hasta grant, pero puede alterar landscape Albemarle y ensanchar riesgo futuro.</t>
        </is>
      </c>
      <c r="S13" s="3" t="inlineStr">
        <is>
          <t>https://patents.google.com/patent/US20240375972A1/en</t>
        </is>
      </c>
    </row>
    <row r="14">
      <c r="A14" s="2" t="inlineStr">
        <is>
          <t>NOV-C013</t>
        </is>
      </c>
      <c r="B14" s="2" t="inlineStr">
        <is>
          <t>US6936229</t>
        </is>
      </c>
      <c r="C14" s="2" t="inlineStr">
        <is>
          <t>US6936229B1</t>
        </is>
      </c>
      <c r="D14" s="2" t="inlineStr">
        <is>
          <t>Recovery of lithium compounds from brines</t>
        </is>
      </c>
      <c r="E14" s="2" t="inlineStr">
        <is>
          <t>Chemetall / Albemarle</t>
        </is>
      </c>
      <c r="F14" s="2" t="inlineStr">
        <is>
          <t>1998-07-16</t>
        </is>
      </c>
      <c r="G14" s="2" t="inlineStr">
        <is>
          <t>Expired</t>
        </is>
      </c>
      <c r="H14" s="2" t="inlineStr">
        <is>
          <t>US</t>
        </is>
      </c>
      <c r="I14" s="2" t="inlineStr">
        <is>
          <t>Expired</t>
        </is>
      </c>
      <c r="J14" s="2" t="inlineStr">
        <is>
          <t>M1/M2 prior art Atacama-brine</t>
        </is>
      </c>
      <c r="K14" s="2" t="inlineStr">
        <is>
          <t>A/D</t>
        </is>
      </c>
      <c r="L14" s="2" t="inlineStr">
        <is>
          <t>Prior art arsenal</t>
        </is>
      </c>
      <c r="M14" s="2" t="inlineStr">
        <is>
          <t>Prior art</t>
        </is>
      </c>
      <c r="N14" s="2" t="inlineStr">
        <is>
          <t>No</t>
        </is>
      </c>
      <c r="O14" s="2" t="inlineStr">
        <is>
          <t>Prior Art Arsenal + Matriz inicial</t>
        </is>
      </c>
      <c r="P14" s="2" t="inlineStr">
        <is>
          <t>Prior art</t>
        </is>
      </c>
      <c r="Q14" s="2" t="inlineStr">
        <is>
          <t>Citar como arte previo fundacional en patentabilidad y potencial invalidación</t>
        </is>
      </c>
      <c r="R14" s="2" t="inlineStr">
        <is>
          <t>Muy útil contra monopolización amplia del concepto carnallita/brines.</t>
        </is>
      </c>
      <c r="S14" s="2" t="inlineStr">
        <is>
          <t>https://patents.google.com/patent/US6936229B1/en</t>
        </is>
      </c>
    </row>
    <row r="15">
      <c r="A15" s="3" t="inlineStr">
        <is>
          <t>NOV-C014</t>
        </is>
      </c>
      <c r="B15" s="3" t="inlineStr">
        <is>
          <t>CN100408705</t>
        </is>
      </c>
      <c r="C15" s="3" t="inlineStr">
        <is>
          <t>CN100408705C</t>
        </is>
      </c>
      <c r="D15" s="3" t="inlineStr">
        <is>
          <t>Method for separating Mg and enriching Li from salt lake brine by NF</t>
        </is>
      </c>
      <c r="E15" s="3" t="inlineStr">
        <is>
          <t>Qinghai ISL (CAS) / Ma Peihua</t>
        </is>
      </c>
      <c r="F15" s="3" t="inlineStr">
        <is>
          <t>2003-04-30</t>
        </is>
      </c>
      <c r="G15" s="3" t="inlineStr">
        <is>
          <t>Expired Apr 2023</t>
        </is>
      </c>
      <c r="H15" s="3" t="inlineStr">
        <is>
          <t>CN</t>
        </is>
      </c>
      <c r="I15" s="3" t="inlineStr">
        <is>
          <t>Expired</t>
        </is>
      </c>
      <c r="J15" s="3" t="inlineStr">
        <is>
          <t>M5 NF Mg/Li</t>
        </is>
      </c>
      <c r="K15" s="3" t="inlineStr">
        <is>
          <t>C</t>
        </is>
      </c>
      <c r="L15" s="3" t="inlineStr">
        <is>
          <t>Prior art arsenal</t>
        </is>
      </c>
      <c r="M15" s="3" t="inlineStr">
        <is>
          <t>Prior art</t>
        </is>
      </c>
      <c r="N15" s="3" t="inlineStr">
        <is>
          <t>No</t>
        </is>
      </c>
      <c r="O15" s="3" t="inlineStr">
        <is>
          <t>Prior Art Arsenal + Matriz inicial</t>
        </is>
      </c>
      <c r="P15" s="3" t="inlineStr">
        <is>
          <t>Prior art</t>
        </is>
      </c>
      <c r="Q15" s="3" t="inlineStr">
        <is>
          <t>Usar para patentabilidad propia y como apoyo contra claims sucesores</t>
        </is>
      </c>
      <c r="R15" s="3" t="inlineStr">
        <is>
          <t>Arte previo fundacional para NF Mg/Li; reduce margen para claims excesivamente amplios en NF.</t>
        </is>
      </c>
      <c r="S15" s="3" t="inlineStr">
        <is>
          <t>https://patents.google.com/patent/CN100408705C/en</t>
        </is>
      </c>
    </row>
    <row r="16">
      <c r="A16" s="2" t="inlineStr">
        <is>
          <t>NOV-C015</t>
        </is>
      </c>
      <c r="B16" s="2" t="inlineStr">
        <is>
          <t>US4723962</t>
        </is>
      </c>
      <c r="C16" s="2" t="inlineStr">
        <is>
          <t>US4723962A</t>
        </is>
      </c>
      <c r="D16" s="2" t="inlineStr">
        <is>
          <t>Process for recovering lithium from salt brines</t>
        </is>
      </c>
      <c r="E16" s="2" t="inlineStr">
        <is>
          <t>Foote Mineral Co. (Albemarle)</t>
        </is>
      </c>
      <c r="F16" s="2" t="inlineStr">
        <is>
          <t>~1985</t>
        </is>
      </c>
      <c r="G16" s="2" t="inlineStr">
        <is>
          <t>Expired</t>
        </is>
      </c>
      <c r="H16" s="2" t="inlineStr">
        <is>
          <t>US</t>
        </is>
      </c>
      <c r="I16" s="2" t="inlineStr">
        <is>
          <t>Expired</t>
        </is>
      </c>
      <c r="J16" s="2" t="inlineStr">
        <is>
          <t>M3 evaporación al vacío 45–60°C</t>
        </is>
      </c>
      <c r="K16" s="2" t="inlineStr">
        <is>
          <t>B/D</t>
        </is>
      </c>
      <c r="L16" s="2" t="inlineStr">
        <is>
          <t>Prior art arsenal</t>
        </is>
      </c>
      <c r="M16" s="2" t="inlineStr">
        <is>
          <t>Prior art</t>
        </is>
      </c>
      <c r="N16" s="2" t="inlineStr">
        <is>
          <t>No</t>
        </is>
      </c>
      <c r="O16" s="2" t="inlineStr">
        <is>
          <t>Prior Art Arsenal + Matriz inicial</t>
        </is>
      </c>
      <c r="P16" s="2" t="inlineStr">
        <is>
          <t>Prior art</t>
        </is>
      </c>
      <c r="Q16" s="2" t="inlineStr">
        <is>
          <t>Mantener como arte previo técnico clave</t>
        </is>
      </c>
      <c r="R16" s="2" t="inlineStr">
        <is>
          <t>Útil para mostrar conocimiento previo de vacío/temperatura en concentración de brines de litio.</t>
        </is>
      </c>
      <c r="S16" s="2" t="inlineStr">
        <is>
          <t>https://patents.google.com/patent/US4723962A/en</t>
        </is>
      </c>
    </row>
    <row r="17">
      <c r="A17" s="3" t="inlineStr">
        <is>
          <t>NOV-C016</t>
        </is>
      </c>
      <c r="B17" s="3" t="inlineStr">
        <is>
          <t>US3268289</t>
        </is>
      </c>
      <c r="C17" s="3" t="inlineStr">
        <is>
          <t>US3268289A</t>
        </is>
      </c>
      <c r="D17" s="3" t="inlineStr">
        <is>
          <t>Evaporative process for carnallite from brines</t>
        </is>
      </c>
      <c r="E17" s="3" t="inlineStr">
        <is>
          <t>Various (1966)</t>
        </is>
      </c>
      <c r="F17" s="3" t="inlineStr">
        <is>
          <t>1964-xx-xx</t>
        </is>
      </c>
      <c r="G17" s="3" t="inlineStr">
        <is>
          <t>Expired</t>
        </is>
      </c>
      <c r="H17" s="3" t="inlineStr">
        <is>
          <t>US</t>
        </is>
      </c>
      <c r="I17" s="3" t="inlineStr">
        <is>
          <t>Expired</t>
        </is>
      </c>
      <c r="J17" s="3" t="inlineStr">
        <is>
          <t>M2/M3 carnallita por evaporación</t>
        </is>
      </c>
      <c r="K17" s="3" t="inlineStr">
        <is>
          <t>A/B</t>
        </is>
      </c>
      <c r="L17" s="3" t="inlineStr">
        <is>
          <t>Prior art arsenal</t>
        </is>
      </c>
      <c r="M17" s="3" t="inlineStr">
        <is>
          <t>Prior art</t>
        </is>
      </c>
      <c r="N17" s="3" t="inlineStr">
        <is>
          <t>No</t>
        </is>
      </c>
      <c r="O17" s="3" t="inlineStr">
        <is>
          <t>Prior Art Arsenal + Matriz inicial</t>
        </is>
      </c>
      <c r="P17" s="3" t="inlineStr">
        <is>
          <t>Prior art</t>
        </is>
      </c>
      <c r="Q17" s="3" t="inlineStr">
        <is>
          <t>Citar como evidencia histórica contra claims demasiado amplios</t>
        </is>
      </c>
      <c r="R17" s="3" t="inlineStr">
        <is>
          <t>Arte previo fundacional del concepto carnallita desde brines.</t>
        </is>
      </c>
      <c r="S17" s="3" t="inlineStr">
        <is>
          <t>https://patents.google.com/patent/US3268289A/en</t>
        </is>
      </c>
    </row>
    <row r="18">
      <c r="A18" s="2" t="inlineStr">
        <is>
          <t>NOV-C017</t>
        </is>
      </c>
      <c r="B18" s="2" t="inlineStr">
        <is>
          <t>US6547836</t>
        </is>
      </c>
      <c r="C18" s="2" t="inlineStr">
        <is>
          <t>US6547836B1</t>
        </is>
      </c>
      <c r="D18" s="2" t="inlineStr">
        <is>
          <t>Monohydrated lithium sulfate from natural brines</t>
        </is>
      </c>
      <c r="E18" s="2" t="inlineStr">
        <is>
          <t>SQM</t>
        </is>
      </c>
      <c r="F18" s="2" t="inlineStr">
        <is>
          <t>2000-xx-xx</t>
        </is>
      </c>
      <c r="G18" s="2" t="inlineStr">
        <is>
          <t>Expired/near expiry depending family</t>
        </is>
      </c>
      <c r="H18" s="2" t="inlineStr">
        <is>
          <t>US</t>
        </is>
      </c>
      <c r="I18" s="2" t="inlineStr">
        <is>
          <t>Prior art context</t>
        </is>
      </c>
      <c r="J18" s="2" t="inlineStr">
        <is>
          <t>M1/M2 Atacama prior art</t>
        </is>
      </c>
      <c r="K18" s="2" t="inlineStr">
        <is>
          <t>A/D</t>
        </is>
      </c>
      <c r="L18" s="2" t="inlineStr">
        <is>
          <t>Prior art arsenal</t>
        </is>
      </c>
      <c r="M18" s="2" t="inlineStr">
        <is>
          <t>Prior art</t>
        </is>
      </c>
      <c r="N18" s="2" t="inlineStr">
        <is>
          <t>No</t>
        </is>
      </c>
      <c r="O18" s="2" t="inlineStr">
        <is>
          <t>Prior Art Arsenal</t>
        </is>
      </c>
      <c r="P18" s="2" t="inlineStr">
        <is>
          <t>Prior art</t>
        </is>
      </c>
      <c r="Q18" s="2" t="inlineStr">
        <is>
          <t>Confirmar estatus exacto si se usa en sección jurídica; mantener como arte previo</t>
        </is>
      </c>
      <c r="R18" s="2" t="inlineStr">
        <is>
          <t>Muy útil para el contexto Atacama/carnallita/bischofita y como contrapeso estratégico frente a actores chilenos.</t>
        </is>
      </c>
      <c r="S18" s="2" t="inlineStr">
        <is>
          <t>https://patents.google.com/patent/US6547836B1/en</t>
        </is>
      </c>
    </row>
    <row r="19">
      <c r="A19" s="3" t="inlineStr">
        <is>
          <t>NOV-C018</t>
        </is>
      </c>
      <c r="B19" s="3" t="inlineStr">
        <is>
          <t>WO2021092013 / US12268992 / CN115591404</t>
        </is>
      </c>
      <c r="C19" s="3" t="inlineStr">
        <is>
          <t>US12268992B2</t>
        </is>
      </c>
      <c r="D19" s="3" t="inlineStr">
        <is>
          <t>Methods and systems for reducing magnesium in high salinity salar brines by nanofiltration and forward osmosis</t>
        </is>
      </c>
      <c r="E19" s="3" t="inlineStr">
        <is>
          <t>Fluid Technology Solutions (FTS)</t>
        </is>
      </c>
      <c r="F19" s="3" t="inlineStr">
        <is>
          <t>2019-11-06</t>
        </is>
      </c>
      <c r="G19" s="3" t="inlineStr">
        <is>
          <t>~2040</t>
        </is>
      </c>
      <c r="H19" s="3" t="inlineStr">
        <is>
          <t>US, WO, CN-visible successors</t>
        </is>
      </c>
      <c r="I19" s="3" t="inlineStr">
        <is>
          <t>Active grant/pending family mix</t>
        </is>
      </c>
      <c r="J19" s="3" t="inlineStr">
        <is>
          <t>M5 NF; M7 water/FO; M8 flowsheet</t>
        </is>
      </c>
      <c r="K19" s="3" t="inlineStr">
        <is>
          <t>C/D</t>
        </is>
      </c>
      <c r="L19" s="3" t="inlineStr">
        <is>
          <t>Monitor crítico / vigilancia amplia</t>
        </is>
      </c>
      <c r="M19" s="3" t="inlineStr">
        <is>
          <t>Tier 2</t>
        </is>
      </c>
      <c r="N19" s="3" t="inlineStr">
        <is>
          <t>No</t>
        </is>
      </c>
      <c r="O19" s="3" t="inlineStr">
        <is>
          <t>Web screening amplio 2026</t>
        </is>
      </c>
      <c r="P19" s="3" t="inlineStr">
        <is>
          <t>Mantener en shortlist extendida</t>
        </is>
      </c>
      <c r="Q19" s="3" t="inlineStr">
        <is>
          <t>Revisar claims granted US12268992 y relación con NF/FO en brines de alta salinidad</t>
        </is>
      </c>
      <c r="R19" s="3" t="inlineStr">
        <is>
          <t>Familia adyacente de alta relevancia para el eje NF+FO. No es un match directo con Novandino, pero puede estrechar margen de diseño-around en membranas y gestión hídrica.</t>
        </is>
      </c>
      <c r="S19" s="3" t="inlineStr">
        <is>
          <t>https://patents.google.com/patent/WO2021092013A1/en</t>
        </is>
      </c>
    </row>
    <row r="20">
      <c r="A20" s="2" t="inlineStr">
        <is>
          <t>NOV-C019</t>
        </is>
      </c>
      <c r="B20" s="2" t="inlineStr">
        <is>
          <t>CN102602966</t>
        </is>
      </c>
      <c r="C20" s="2" t="inlineStr">
        <is>
          <t>CN102602966B</t>
        </is>
      </c>
      <c r="D20" s="2" t="inlineStr">
        <is>
          <t>Method for separating magnesium and lithium from salt lake brine and preparing lithium carbonate</t>
        </is>
      </c>
      <c r="E20" s="2" t="inlineStr">
        <is>
          <t>Chinese assignee</t>
        </is>
      </c>
      <c r="F20" s="2" t="inlineStr">
        <is>
          <t>2012-04-06</t>
        </is>
      </c>
      <c r="G20" s="2" t="inlineStr">
        <is>
          <t>Expired - fee related</t>
        </is>
      </c>
      <c r="H20" s="2" t="inlineStr">
        <is>
          <t>CN</t>
        </is>
      </c>
      <c r="I20" s="2" t="inlineStr">
        <is>
          <t>Expired - Fee Related</t>
        </is>
      </c>
      <c r="J20" s="2" t="inlineStr">
        <is>
          <t>M2 remoción Mg; M8 ruta a Li2CO3</t>
        </is>
      </c>
      <c r="K20" s="2" t="inlineStr">
        <is>
          <t>A/D</t>
        </is>
      </c>
      <c r="L20" s="2" t="inlineStr">
        <is>
          <t>Prior art + monitor histórico</t>
        </is>
      </c>
      <c r="M20" s="2" t="inlineStr">
        <is>
          <t>Prior art</t>
        </is>
      </c>
      <c r="N20" s="2" t="inlineStr">
        <is>
          <t>No</t>
        </is>
      </c>
      <c r="O20" s="2" t="inlineStr">
        <is>
          <t>Web screening amplio 2026</t>
        </is>
      </c>
      <c r="P20" s="2" t="inlineStr">
        <is>
          <t>Mantener como prior art</t>
        </is>
      </c>
      <c r="Q20" s="2" t="inlineStr">
        <is>
          <t>Usar para patentabilidad y potencial invalidación contextual</t>
        </is>
      </c>
      <c r="R20" s="2" t="inlineStr">
        <is>
          <t>Patente CN caducada por tasas; útil para demostrar que rutas de separación Mg/Li y preparación de carbonato ya estaban ampliamente divulgadas.</t>
        </is>
      </c>
      <c r="S20" s="2" t="inlineStr">
        <is>
          <t>https://patents.google.com/patent/CN102602966B/en</t>
        </is>
      </c>
    </row>
    <row r="21">
      <c r="A21" s="3" t="inlineStr">
        <is>
          <t>NOV-C020</t>
        </is>
      </c>
      <c r="B21" s="3" t="inlineStr">
        <is>
          <t>CN114105173</t>
        </is>
      </c>
      <c r="C21" s="3" t="inlineStr">
        <is>
          <t>CN114105173B</t>
        </is>
      </c>
      <c r="D21" s="3" t="inlineStr">
        <is>
          <t>System and process for extracting lithium from salt lake brine</t>
        </is>
      </c>
      <c r="E21" s="3" t="inlineStr">
        <is>
          <t>Chinese assignee</t>
        </is>
      </c>
      <c r="F21" s="3" t="inlineStr">
        <is>
          <t>2021-11-11</t>
        </is>
      </c>
      <c r="G21" s="3" t="inlineStr">
        <is>
          <t>~2041</t>
        </is>
      </c>
      <c r="H21" s="3" t="inlineStr">
        <is>
          <t>CN</t>
        </is>
      </c>
      <c r="I21" s="3" t="inlineStr">
        <is>
          <t>Active grant present</t>
        </is>
      </c>
      <c r="J21" s="3" t="inlineStr">
        <is>
          <t>M5 NF; M6 RO/ED; M7 agua; M8 sistema integrado</t>
        </is>
      </c>
      <c r="K21" s="3" t="inlineStr">
        <is>
          <t>C/D</t>
        </is>
      </c>
      <c r="L21" s="3" t="inlineStr">
        <is>
          <t>Monitor crítico / posible Tier 2 alto</t>
        </is>
      </c>
      <c r="M21" s="3" t="inlineStr">
        <is>
          <t>Tier 2</t>
        </is>
      </c>
      <c r="N21" s="3" t="inlineStr">
        <is>
          <t>No</t>
        </is>
      </c>
      <c r="O21" s="3" t="inlineStr">
        <is>
          <t>Web screening amplio 2026</t>
        </is>
      </c>
      <c r="P21" s="3" t="inlineStr">
        <is>
          <t>Sube a shortlist extendida</t>
        </is>
      </c>
      <c r="Q21" s="3" t="inlineStr">
        <is>
          <t>Verificar si amerita claim chart post-screening por integración NF/RO/ED y agua</t>
        </is>
      </c>
      <c r="R21" s="3" t="inlineStr">
        <is>
          <t>Familia reciente que cita directamente NF/RO/ED y recuperación de Mg, B, Li y agua; relevante como radar de procesos integrados chinos.</t>
        </is>
      </c>
      <c r="S21" s="3" t="inlineStr">
        <is>
          <t>https://patents.google.com/patent/CN114105173B/en</t>
        </is>
      </c>
    </row>
    <row r="22">
      <c r="A22" s="2" t="inlineStr">
        <is>
          <t>NOV-C021</t>
        </is>
      </c>
      <c r="B22" s="2" t="inlineStr">
        <is>
          <t>US11235282</t>
        </is>
      </c>
      <c r="C22" s="2" t="inlineStr">
        <is>
          <t>US11235282B2</t>
        </is>
      </c>
      <c r="D22" s="2" t="inlineStr">
        <is>
          <t>Processes for producing lithium compounds using forward osmosis</t>
        </is>
      </c>
      <c r="E22" s="2" t="inlineStr">
        <is>
          <t>Standard Lithium / related</t>
        </is>
      </c>
      <c r="F22" s="2" t="inlineStr">
        <is>
          <t>2018-03-02</t>
        </is>
      </c>
      <c r="G22" s="2" t="inlineStr">
        <is>
          <t>~2038</t>
        </is>
      </c>
      <c r="H22" s="2" t="inlineStr">
        <is>
          <t>US</t>
        </is>
      </c>
      <c r="I22" s="2" t="inlineStr">
        <is>
          <t>Active grant present</t>
        </is>
      </c>
      <c r="J22" s="2" t="inlineStr">
        <is>
          <t>M7 water/FO; M8 concentración de brinas</t>
        </is>
      </c>
      <c r="K22" s="2" t="inlineStr">
        <is>
          <t>D</t>
        </is>
      </c>
      <c r="L22" s="2" t="inlineStr">
        <is>
          <t>Monitor técnico / adyacente</t>
        </is>
      </c>
      <c r="M22" s="2" t="inlineStr">
        <is>
          <t>Tier 3</t>
        </is>
      </c>
      <c r="N22" s="2" t="inlineStr">
        <is>
          <t>No</t>
        </is>
      </c>
      <c r="O22" s="2" t="inlineStr">
        <is>
          <t>Web screening amplio 2026</t>
        </is>
      </c>
      <c r="P22" s="2" t="inlineStr">
        <is>
          <t>Monitor</t>
        </is>
      </c>
      <c r="Q22" s="2" t="inlineStr">
        <is>
          <t>Mantener fuera de shortlist crítica salvo que scope incorpore FO</t>
        </is>
      </c>
      <c r="R22" s="2" t="inlineStr">
        <is>
          <t>Adyacente por gestión hídrica y concentración de salmueras de litio; menor cercanía al core actual porque su centro está en FO, no en KCl-carnallita ni NF post-cristalización.</t>
        </is>
      </c>
      <c r="S22" s="2" t="inlineStr">
        <is>
          <t>https://patents.google.com/patent/US11235282B2/en</t>
        </is>
      </c>
    </row>
    <row r="23">
      <c r="A23" s="3" t="inlineStr">
        <is>
          <t>NOV-C022</t>
        </is>
      </c>
      <c r="B23" s="3" t="inlineStr">
        <is>
          <t>US6143260</t>
        </is>
      </c>
      <c r="C23" s="3" t="inlineStr">
        <is>
          <t>US6143260A</t>
        </is>
      </c>
      <c r="D23" s="3" t="inlineStr">
        <is>
          <t>Method for removing magnesium from brine to yield lithium carbonate</t>
        </is>
      </c>
      <c r="E23" s="3" t="inlineStr">
        <is>
          <t>Chemetall / related</t>
        </is>
      </c>
      <c r="F23" s="3" t="inlineStr">
        <is>
          <t>1998-07-16</t>
        </is>
      </c>
      <c r="G23" s="3" t="inlineStr">
        <is>
          <t>Expired</t>
        </is>
      </c>
      <c r="H23" s="3" t="inlineStr">
        <is>
          <t>US</t>
        </is>
      </c>
      <c r="I23" s="3" t="inlineStr">
        <is>
          <t>Expired</t>
        </is>
      </c>
      <c r="J23" s="3" t="inlineStr">
        <is>
          <t>M2 remoción Mg como hidróxido; M8 ruta a Li2CO3</t>
        </is>
      </c>
      <c r="K23" s="3" t="inlineStr">
        <is>
          <t>A/D</t>
        </is>
      </c>
      <c r="L23" s="3" t="inlineStr">
        <is>
          <t>Prior art arsenal</t>
        </is>
      </c>
      <c r="M23" s="3" t="inlineStr">
        <is>
          <t>Prior art</t>
        </is>
      </c>
      <c r="N23" s="3" t="inlineStr">
        <is>
          <t>No</t>
        </is>
      </c>
      <c r="O23" s="3" t="inlineStr">
        <is>
          <t>Web screening amplio 2026</t>
        </is>
      </c>
      <c r="P23" s="3" t="inlineStr">
        <is>
          <t>Prior art</t>
        </is>
      </c>
      <c r="Q23" s="3" t="inlineStr">
        <is>
          <t>Mantener como contraste químico fuerte frente a Novandino</t>
        </is>
      </c>
      <c r="R23" s="3" t="inlineStr">
        <is>
          <t>Muy útil para distinguir rutas clásicas de precipitación alcalina de la propuesta Novandino; aporta prior art robusto aunque no genere bloqueo vigente.</t>
        </is>
      </c>
      <c r="S23" s="3" t="inlineStr">
        <is>
          <t>https://patents.google.com/patent/US6143260A/en</t>
        </is>
      </c>
    </row>
    <row r="24">
      <c r="A24" s="2" t="inlineStr">
        <is>
          <t>NOV-C023</t>
        </is>
      </c>
      <c r="B24" s="2" t="inlineStr">
        <is>
          <t>CN108341421 / AR108605</t>
        </is>
      </c>
      <c r="C24" s="2" t="inlineStr">
        <is>
          <t>CN108341421B</t>
        </is>
      </c>
      <c r="D24" s="2" t="inlineStr">
        <is>
          <t>Method for directly preparing lithium carbonate from salt lake brine with high magnesium-lithium ratio</t>
        </is>
      </c>
      <c r="E24" s="2" t="inlineStr">
        <is>
          <t>Ma Peihua / Chinese assignee</t>
        </is>
      </c>
      <c r="F24" s="2" t="inlineStr">
        <is>
          <t>2017-01-24</t>
        </is>
      </c>
      <c r="G24" s="2" t="inlineStr">
        <is>
          <t>~2037</t>
        </is>
      </c>
      <c r="H24" s="2" t="inlineStr">
        <is>
          <t>CN, AR</t>
        </is>
      </c>
      <c r="I24" s="2" t="inlineStr">
        <is>
          <t>Active grant present</t>
        </is>
      </c>
      <c r="J24" s="2" t="inlineStr">
        <is>
          <t>M8 ruta integrada a producto; remoción Mg/Li</t>
        </is>
      </c>
      <c r="K24" s="2" t="inlineStr">
        <is>
          <t>D</t>
        </is>
      </c>
      <c r="L24" s="2" t="inlineStr">
        <is>
          <t>Monitor crítico / patentability context</t>
        </is>
      </c>
      <c r="M24" s="2" t="inlineStr">
        <is>
          <t>Tier 2</t>
        </is>
      </c>
      <c r="N24" s="2" t="inlineStr">
        <is>
          <t>No</t>
        </is>
      </c>
      <c r="O24" s="2" t="inlineStr">
        <is>
          <t>Web screening amplio 2026</t>
        </is>
      </c>
      <c r="P24" s="2" t="inlineStr">
        <is>
          <t>Mantener en shortlist extendida</t>
        </is>
      </c>
      <c r="Q24" s="2" t="inlineStr">
        <is>
          <t>Evaluar si impacta patentabilidad más que FTO del core actual</t>
        </is>
      </c>
      <c r="R24" s="2" t="inlineStr">
        <is>
          <t>Familia activa con huella CN/AR; más relevante para rutas integradas a producto final que para el eje específico KCl/NF, pero no conviene dejarla fuera del screening amplio.</t>
        </is>
      </c>
      <c r="S24" s="2" t="inlineStr">
        <is>
          <t>https://patents.google.com/patent/CN108341421B/en</t>
        </is>
      </c>
    </row>
    <row r="25">
      <c r="A25" s="3" t="inlineStr">
        <is>
          <t>NOV-C024</t>
        </is>
      </c>
      <c r="B25" s="3" t="inlineStr">
        <is>
          <t>US7449161</t>
        </is>
      </c>
      <c r="C25" s="3" t="inlineStr">
        <is>
          <t>US7449161B2</t>
        </is>
      </c>
      <c r="D25" s="3" t="inlineStr">
        <is>
          <t>Production of lithium compounds directly from lithium containing brines</t>
        </is>
      </c>
      <c r="E25" s="3" t="inlineStr">
        <is>
          <t>Chemetall / Rockwood lineage</t>
        </is>
      </c>
      <c r="F25" s="3" t="inlineStr">
        <is>
          <t>2001-03-27</t>
        </is>
      </c>
      <c r="G25" s="3" t="inlineStr">
        <is>
          <t>Expired/near-expired</t>
        </is>
      </c>
      <c r="H25" s="3" t="inlineStr">
        <is>
          <t>US</t>
        </is>
      </c>
      <c r="I25" s="3" t="inlineStr">
        <is>
          <t>Expired or de minimis residual risk</t>
        </is>
      </c>
      <c r="J25" s="3" t="inlineStr">
        <is>
          <t>M8 ruta integrada a compuestos de Li</t>
        </is>
      </c>
      <c r="K25" s="3" t="inlineStr">
        <is>
          <t>D</t>
        </is>
      </c>
      <c r="L25" s="3" t="inlineStr">
        <is>
          <t>Prior art + contexto estratégico</t>
        </is>
      </c>
      <c r="M25" s="3" t="inlineStr">
        <is>
          <t>Prior art</t>
        </is>
      </c>
      <c r="N25" s="3" t="inlineStr">
        <is>
          <t>No</t>
        </is>
      </c>
      <c r="O25" s="3" t="inlineStr">
        <is>
          <t>Web screening amplio 2026</t>
        </is>
      </c>
      <c r="P25" s="3" t="inlineStr">
        <is>
          <t>Prior art</t>
        </is>
      </c>
      <c r="Q25" s="3" t="inlineStr">
        <is>
          <t>Usar como contexto de rutas integradas y citación de antecedentes clásicos</t>
        </is>
      </c>
      <c r="R25" s="3" t="inlineStr">
        <is>
          <t>Documento muy rico en antecedentes citados y en descripción de rutas clásicas de purificación de brinas; útil como nodo bibliográfico de prior art.</t>
        </is>
      </c>
      <c r="S25" s="3" t="inlineStr">
        <is>
          <t>https://patents.google.com/patent/US7449161B2/en</t>
        </is>
      </c>
    </row>
    <row r="26">
      <c r="A26" s="2" t="inlineStr">
        <is>
          <t>NOV-C025</t>
        </is>
      </c>
      <c r="B26" s="2" t="inlineStr">
        <is>
          <t>US3342548</t>
        </is>
      </c>
      <c r="C26" s="2" t="inlineStr">
        <is>
          <t>US3342548A</t>
        </is>
      </c>
      <c r="D26" s="2" t="inlineStr">
        <is>
          <t>Process for the recovery of lithium and potassium values from brines</t>
        </is>
      </c>
      <c r="E26" s="2" t="inlineStr">
        <is>
          <t>Signal Oil and Gas</t>
        </is>
      </c>
      <c r="F26" s="2" t="inlineStr">
        <is>
          <t>1963-09-16</t>
        </is>
      </c>
      <c r="G26" s="2" t="inlineStr">
        <is>
          <t>Expired</t>
        </is>
      </c>
      <c r="H26" s="2" t="inlineStr">
        <is>
          <t>US</t>
        </is>
      </c>
      <c r="I26" s="2" t="inlineStr">
        <is>
          <t>Expired</t>
        </is>
      </c>
      <c r="J26" s="2" t="inlineStr">
        <is>
          <t>M1 evaporación solar; M8 contexto brine recovery</t>
        </is>
      </c>
      <c r="K26" s="2" t="inlineStr">
        <is>
          <t>A/D</t>
        </is>
      </c>
      <c r="L26" s="2" t="inlineStr">
        <is>
          <t>Prior art histórico</t>
        </is>
      </c>
      <c r="M26" s="2" t="inlineStr">
        <is>
          <t>Prior art</t>
        </is>
      </c>
      <c r="N26" s="2" t="inlineStr">
        <is>
          <t>No</t>
        </is>
      </c>
      <c r="O26" s="2" t="inlineStr">
        <is>
          <t>Web screening amplio 2026</t>
        </is>
      </c>
      <c r="P26" s="2" t="inlineStr">
        <is>
          <t>Prior art</t>
        </is>
      </c>
      <c r="Q26" s="2" t="inlineStr">
        <is>
          <t>Mantener como antecedente remoto contextual</t>
        </is>
      </c>
      <c r="R26" s="2" t="inlineStr">
        <is>
          <t>Antecedente histórico de recuperación de Li y K desde brinas; no bloquea, pero ayuda a limitar pretensiones amplias sobre manejo evaporítico de brinas.</t>
        </is>
      </c>
      <c r="S26" s="2" t="inlineStr">
        <is>
          <t>https://patents.google.com/patent/US3342548A/en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1" customWidth="1" min="3" max="3"/>
    <col width="12" customWidth="1" min="4" max="4"/>
    <col width="12" customWidth="1" min="5" max="5"/>
    <col width="13" customWidth="1" min="6" max="6"/>
    <col width="30" customWidth="1" min="7" max="7"/>
    <col width="27" customWidth="1" min="8" max="8"/>
    <col width="28" customWidth="1" min="9" max="9"/>
    <col width="23" customWidth="1" min="10" max="10"/>
    <col width="22" customWidth="1" min="11" max="11"/>
    <col width="17" customWidth="1" min="12" max="12"/>
    <col width="25" customWidth="1" min="13" max="13"/>
    <col width="16" customWidth="1" min="14" max="14"/>
  </cols>
  <sheetData>
    <row r="1">
      <c r="A1" s="1" t="inlineStr">
        <is>
          <t>family_id</t>
        </is>
      </c>
      <c r="B1" s="1" t="inlineStr">
        <is>
          <t>family</t>
        </is>
      </c>
      <c r="C1" s="1" t="inlineStr">
        <is>
          <t>analytical_role</t>
        </is>
      </c>
      <c r="D1" s="1" t="inlineStr">
        <is>
          <t>tier</t>
        </is>
      </c>
      <c r="E1" s="1" t="inlineStr">
        <is>
          <t>tier1_flag</t>
        </is>
      </c>
      <c r="F1" s="1" t="inlineStr">
        <is>
          <t>active_flag</t>
        </is>
      </c>
      <c r="G1" s="1" t="inlineStr">
        <is>
          <t>international_coverage_score</t>
        </is>
      </c>
      <c r="H1" s="1" t="inlineStr">
        <is>
          <t>technical_proximity_score</t>
        </is>
      </c>
      <c r="I1" s="1" t="inlineStr">
        <is>
          <t>claim_chart_maturity_score</t>
        </is>
      </c>
      <c r="J1" s="1" t="inlineStr">
        <is>
          <t>prior_art_value_score</t>
        </is>
      </c>
      <c r="K1" s="1" t="inlineStr">
        <is>
          <t>status_pending_score</t>
        </is>
      </c>
      <c r="L1" s="1" t="inlineStr">
        <is>
          <t>screening_score</t>
        </is>
      </c>
      <c r="M1" s="1" t="inlineStr">
        <is>
          <t>screening_traffic_light</t>
        </is>
      </c>
      <c r="N1" s="1" t="inlineStr">
        <is>
          <t>shortlist_flag</t>
        </is>
      </c>
    </row>
    <row r="2">
      <c r="A2" s="2" t="inlineStr">
        <is>
          <t>NOV-C001</t>
        </is>
      </c>
      <c r="B2" s="2" t="inlineStr">
        <is>
          <t>CN105540620 / US9005557 / WO2012099637</t>
        </is>
      </c>
      <c r="C2" s="2" t="inlineStr">
        <is>
          <t>Blocking risk + claim chart</t>
        </is>
      </c>
      <c r="D2" s="2" t="inlineStr">
        <is>
          <t>Tier 1</t>
        </is>
      </c>
      <c r="E2" s="2" t="inlineStr">
        <is>
          <t>Sí</t>
        </is>
      </c>
      <c r="F2" s="2" t="inlineStr">
        <is>
          <t>Sí</t>
        </is>
      </c>
      <c r="G2" s="2" t="n">
        <v>3</v>
      </c>
      <c r="H2" s="2" t="n">
        <v>3</v>
      </c>
      <c r="I2" s="2" t="n">
        <v>3</v>
      </c>
      <c r="J2" s="2" t="n">
        <v>0</v>
      </c>
      <c r="K2" s="2" t="n">
        <v>0</v>
      </c>
      <c r="L2" s="2" t="n">
        <v>113</v>
      </c>
      <c r="M2" s="2" t="inlineStr">
        <is>
          <t>ALTO</t>
        </is>
      </c>
      <c r="N2" s="2" t="inlineStr">
        <is>
          <t>Sí</t>
        </is>
      </c>
    </row>
    <row r="3">
      <c r="A3" s="3" t="inlineStr">
        <is>
          <t>NOV-C002</t>
        </is>
      </c>
      <c r="B3" s="3" t="inlineStr">
        <is>
          <t>US11219863 / CN109368670 / WO2020073611</t>
        </is>
      </c>
      <c r="C3" s="3" t="inlineStr">
        <is>
          <t>Blocking risk + claim chart</t>
        </is>
      </c>
      <c r="D3" s="3" t="inlineStr">
        <is>
          <t>Tier 1</t>
        </is>
      </c>
      <c r="E3" s="3" t="inlineStr">
        <is>
          <t>Sí</t>
        </is>
      </c>
      <c r="F3" s="3" t="inlineStr">
        <is>
          <t>Sí</t>
        </is>
      </c>
      <c r="G3" s="3" t="n">
        <v>2</v>
      </c>
      <c r="H3" s="3" t="n">
        <v>3</v>
      </c>
      <c r="I3" s="3" t="n">
        <v>3</v>
      </c>
      <c r="J3" s="3" t="n">
        <v>0</v>
      </c>
      <c r="K3" s="3" t="n">
        <v>0</v>
      </c>
      <c r="L3" s="3" t="n">
        <v>105</v>
      </c>
      <c r="M3" s="3" t="inlineStr">
        <is>
          <t>ALTO</t>
        </is>
      </c>
      <c r="N3" s="3" t="inlineStr">
        <is>
          <t>Sí</t>
        </is>
      </c>
    </row>
    <row r="4">
      <c r="A4" s="2" t="inlineStr">
        <is>
          <t>NOV-C003</t>
        </is>
      </c>
      <c r="B4" s="2" t="inlineStr">
        <is>
          <t>US11203542 / CN110603339 / WO2018208305</t>
        </is>
      </c>
      <c r="C4" s="2" t="inlineStr">
        <is>
          <t>Blocking risk + claim chart</t>
        </is>
      </c>
      <c r="D4" s="2" t="inlineStr">
        <is>
          <t>Tier 1</t>
        </is>
      </c>
      <c r="E4" s="2" t="inlineStr">
        <is>
          <t>Sí</t>
        </is>
      </c>
      <c r="F4" s="2" t="inlineStr">
        <is>
          <t>Sí</t>
        </is>
      </c>
      <c r="G4" s="2" t="n">
        <v>3</v>
      </c>
      <c r="H4" s="2" t="n">
        <v>3</v>
      </c>
      <c r="I4" s="2" t="n">
        <v>3</v>
      </c>
      <c r="J4" s="2" t="n">
        <v>0</v>
      </c>
      <c r="K4" s="2" t="n">
        <v>0</v>
      </c>
      <c r="L4" s="2" t="n">
        <v>113</v>
      </c>
      <c r="M4" s="2" t="inlineStr">
        <is>
          <t>ALTO</t>
        </is>
      </c>
      <c r="N4" s="2" t="inlineStr">
        <is>
          <t>Sí</t>
        </is>
      </c>
    </row>
    <row r="5">
      <c r="A5" s="3" t="inlineStr">
        <is>
          <t>NOV-C004</t>
        </is>
      </c>
      <c r="B5" s="3" t="inlineStr">
        <is>
          <t>CN103074502</t>
        </is>
      </c>
      <c r="C5" s="3" t="inlineStr">
        <is>
          <t>Blocking risk CN + claim chart</t>
        </is>
      </c>
      <c r="D5" s="3" t="inlineStr">
        <is>
          <t>Tier 1</t>
        </is>
      </c>
      <c r="E5" s="3" t="inlineStr">
        <is>
          <t>Sí</t>
        </is>
      </c>
      <c r="F5" s="3" t="inlineStr">
        <is>
          <t>Sí</t>
        </is>
      </c>
      <c r="G5" s="3" t="n">
        <v>1</v>
      </c>
      <c r="H5" s="3" t="n">
        <v>3</v>
      </c>
      <c r="I5" s="3" t="n">
        <v>3</v>
      </c>
      <c r="J5" s="3" t="n">
        <v>0</v>
      </c>
      <c r="K5" s="3" t="n">
        <v>0</v>
      </c>
      <c r="L5" s="3" t="n">
        <v>92</v>
      </c>
      <c r="M5" s="3" t="inlineStr">
        <is>
          <t>ALTO</t>
        </is>
      </c>
      <c r="N5" s="3" t="inlineStr">
        <is>
          <t>Sí</t>
        </is>
      </c>
    </row>
    <row r="6">
      <c r="A6" s="2" t="inlineStr">
        <is>
          <t>NOV-C005</t>
        </is>
      </c>
      <c r="B6" s="2" t="inlineStr">
        <is>
          <t>CN103572071</t>
        </is>
      </c>
      <c r="C6" s="2" t="inlineStr">
        <is>
          <t>Monitor / FTO periférico</t>
        </is>
      </c>
      <c r="D6" s="2" t="inlineStr">
        <is>
          <t>Tier 2</t>
        </is>
      </c>
      <c r="E6" s="2" t="inlineStr">
        <is>
          <t>No</t>
        </is>
      </c>
      <c r="F6" s="2" t="inlineStr">
        <is>
          <t>Sí</t>
        </is>
      </c>
      <c r="G6" s="2" t="n">
        <v>1</v>
      </c>
      <c r="H6" s="2" t="n">
        <v>2</v>
      </c>
      <c r="I6" s="2" t="n">
        <v>2</v>
      </c>
      <c r="J6" s="2" t="n">
        <v>0</v>
      </c>
      <c r="K6" s="2" t="n">
        <v>0</v>
      </c>
      <c r="L6" s="2" t="n">
        <v>59</v>
      </c>
      <c r="M6" s="2" t="inlineStr">
        <is>
          <t>MEDIO</t>
        </is>
      </c>
      <c r="N6" s="2" t="inlineStr">
        <is>
          <t>Sí</t>
        </is>
      </c>
    </row>
    <row r="7">
      <c r="A7" s="3" t="inlineStr">
        <is>
          <t>NOV-C006</t>
        </is>
      </c>
      <c r="B7" s="3" t="inlineStr">
        <is>
          <t>DE102015000872</t>
        </is>
      </c>
      <c r="C7" s="3" t="inlineStr">
        <is>
          <t>Monitor + verify status</t>
        </is>
      </c>
      <c r="D7" s="3" t="inlineStr">
        <is>
          <t>Tier 2</t>
        </is>
      </c>
      <c r="E7" s="3" t="inlineStr">
        <is>
          <t>No</t>
        </is>
      </c>
      <c r="F7" s="3" t="inlineStr">
        <is>
          <t>Sí</t>
        </is>
      </c>
      <c r="G7" s="3" t="n">
        <v>1</v>
      </c>
      <c r="H7" s="3" t="n">
        <v>3</v>
      </c>
      <c r="I7" s="3" t="n">
        <v>2</v>
      </c>
      <c r="J7" s="3" t="n">
        <v>0</v>
      </c>
      <c r="K7" s="3" t="n">
        <v>1</v>
      </c>
      <c r="L7" s="3" t="n">
        <v>65</v>
      </c>
      <c r="M7" s="3" t="inlineStr">
        <is>
          <t>MEDIO</t>
        </is>
      </c>
      <c r="N7" s="3" t="inlineStr">
        <is>
          <t>Sí</t>
        </is>
      </c>
    </row>
    <row r="8">
      <c r="A8" s="2" t="inlineStr">
        <is>
          <t>NOV-C007</t>
        </is>
      </c>
      <c r="B8" s="2" t="inlineStr">
        <is>
          <t>US8641992</t>
        </is>
      </c>
      <c r="C8" s="2" t="inlineStr">
        <is>
          <t>Monitor / prior art contrastivo</t>
        </is>
      </c>
      <c r="D8" s="2" t="inlineStr">
        <is>
          <t>Tier 3</t>
        </is>
      </c>
      <c r="E8" s="2" t="inlineStr">
        <is>
          <t>No</t>
        </is>
      </c>
      <c r="F8" s="2" t="inlineStr">
        <is>
          <t>Sí</t>
        </is>
      </c>
      <c r="G8" s="2" t="n">
        <v>2</v>
      </c>
      <c r="H8" s="2" t="n">
        <v>3</v>
      </c>
      <c r="I8" s="2" t="n">
        <v>1</v>
      </c>
      <c r="J8" s="2" t="n">
        <v>0</v>
      </c>
      <c r="K8" s="2" t="n">
        <v>0</v>
      </c>
      <c r="L8" s="2" t="n">
        <v>69</v>
      </c>
      <c r="M8" s="2" t="inlineStr">
        <is>
          <t>MEDIO</t>
        </is>
      </c>
      <c r="N8" s="2" t="inlineStr">
        <is>
          <t>No</t>
        </is>
      </c>
    </row>
    <row r="9">
      <c r="A9" s="3" t="inlineStr">
        <is>
          <t>NOV-C008</t>
        </is>
      </c>
      <c r="B9" s="3" t="inlineStr">
        <is>
          <t>CN105540619</t>
        </is>
      </c>
      <c r="C9" s="3" t="inlineStr">
        <is>
          <t>Monitor</t>
        </is>
      </c>
      <c r="D9" s="3" t="inlineStr">
        <is>
          <t>Tier 2</t>
        </is>
      </c>
      <c r="E9" s="3" t="inlineStr">
        <is>
          <t>No</t>
        </is>
      </c>
      <c r="F9" s="3" t="inlineStr">
        <is>
          <t>Sí</t>
        </is>
      </c>
      <c r="G9" s="3" t="n">
        <v>1</v>
      </c>
      <c r="H9" s="3" t="n">
        <v>3</v>
      </c>
      <c r="I9" s="3" t="n">
        <v>2</v>
      </c>
      <c r="J9" s="3" t="n">
        <v>0</v>
      </c>
      <c r="K9" s="3" t="n">
        <v>0</v>
      </c>
      <c r="L9" s="3" t="n">
        <v>69</v>
      </c>
      <c r="M9" s="3" t="inlineStr">
        <is>
          <t>MEDIO</t>
        </is>
      </c>
      <c r="N9" s="3" t="inlineStr">
        <is>
          <t>Sí</t>
        </is>
      </c>
    </row>
    <row r="10">
      <c r="A10" s="2" t="inlineStr">
        <is>
          <t>NOV-C009</t>
        </is>
      </c>
      <c r="B10" s="2" t="inlineStr">
        <is>
          <t>CN114735726 / WO2023159899 / US20240262704</t>
        </is>
      </c>
      <c r="C10" s="2" t="inlineStr">
        <is>
          <t>Monitor crítico / vigilancia</t>
        </is>
      </c>
      <c r="D10" s="2" t="inlineStr">
        <is>
          <t>Tier 2</t>
        </is>
      </c>
      <c r="E10" s="2" t="inlineStr">
        <is>
          <t>No</t>
        </is>
      </c>
      <c r="F10" s="2" t="inlineStr">
        <is>
          <t>No</t>
        </is>
      </c>
      <c r="G10" s="2" t="n">
        <v>3</v>
      </c>
      <c r="H10" s="2" t="n">
        <v>2</v>
      </c>
      <c r="I10" s="2" t="n">
        <v>2</v>
      </c>
      <c r="J10" s="2" t="n">
        <v>0</v>
      </c>
      <c r="K10" s="2" t="n">
        <v>0</v>
      </c>
      <c r="L10" s="2" t="n">
        <v>82</v>
      </c>
      <c r="M10" s="2" t="inlineStr">
        <is>
          <t>ALTO</t>
        </is>
      </c>
      <c r="N10" s="2" t="inlineStr">
        <is>
          <t>Sí</t>
        </is>
      </c>
    </row>
    <row r="11">
      <c r="A11" s="3" t="inlineStr">
        <is>
          <t>NOV-C010</t>
        </is>
      </c>
      <c r="B11" s="3" t="inlineStr">
        <is>
          <t>CN116161680</t>
        </is>
      </c>
      <c r="C11" s="3" t="inlineStr">
        <is>
          <t>Monitor técnico</t>
        </is>
      </c>
      <c r="D11" s="3" t="inlineStr">
        <is>
          <t>Tier 3</t>
        </is>
      </c>
      <c r="E11" s="3" t="inlineStr">
        <is>
          <t>No</t>
        </is>
      </c>
      <c r="F11" s="3" t="inlineStr">
        <is>
          <t>Sí</t>
        </is>
      </c>
      <c r="G11" s="3" t="n">
        <v>1</v>
      </c>
      <c r="H11" s="3" t="n">
        <v>3</v>
      </c>
      <c r="I11" s="3" t="n">
        <v>1</v>
      </c>
      <c r="J11" s="3" t="n">
        <v>0</v>
      </c>
      <c r="K11" s="3" t="n">
        <v>0</v>
      </c>
      <c r="L11" s="3" t="n">
        <v>61</v>
      </c>
      <c r="M11" s="3" t="inlineStr">
        <is>
          <t>MEDIO</t>
        </is>
      </c>
      <c r="N11" s="3" t="inlineStr">
        <is>
          <t>No</t>
        </is>
      </c>
    </row>
    <row r="12">
      <c r="A12" s="2" t="inlineStr">
        <is>
          <t>NOV-C011</t>
        </is>
      </c>
      <c r="B12" s="2" t="inlineStr">
        <is>
          <t>US8784755</t>
        </is>
      </c>
      <c r="C12" s="2" t="inlineStr">
        <is>
          <t>Monitor técnico</t>
        </is>
      </c>
      <c r="D12" s="2" t="inlineStr">
        <is>
          <t>Tier 3</t>
        </is>
      </c>
      <c r="E12" s="2" t="inlineStr">
        <is>
          <t>No</t>
        </is>
      </c>
      <c r="F12" s="2" t="inlineStr">
        <is>
          <t>Sí</t>
        </is>
      </c>
      <c r="G12" s="2" t="n">
        <v>1</v>
      </c>
      <c r="H12" s="2" t="n">
        <v>3</v>
      </c>
      <c r="I12" s="2" t="n">
        <v>1</v>
      </c>
      <c r="J12" s="2" t="n">
        <v>1</v>
      </c>
      <c r="K12" s="2" t="n">
        <v>0</v>
      </c>
      <c r="L12" s="2" t="n">
        <v>66</v>
      </c>
      <c r="M12" s="2" t="inlineStr">
        <is>
          <t>MEDIO</t>
        </is>
      </c>
      <c r="N12" s="2" t="inlineStr">
        <is>
          <t>No</t>
        </is>
      </c>
    </row>
    <row r="13">
      <c r="A13" s="3" t="inlineStr">
        <is>
          <t>NOV-C012</t>
        </is>
      </c>
      <c r="B13" s="3" t="inlineStr">
        <is>
          <t>US20240375972</t>
        </is>
      </c>
      <c r="C13" s="3" t="inlineStr">
        <is>
          <t>Monitor prosecution</t>
        </is>
      </c>
      <c r="D13" s="3" t="inlineStr">
        <is>
          <t>Tier 2</t>
        </is>
      </c>
      <c r="E13" s="3" t="inlineStr">
        <is>
          <t>No</t>
        </is>
      </c>
      <c r="F13" s="3" t="inlineStr">
        <is>
          <t>No</t>
        </is>
      </c>
      <c r="G13" s="3" t="n">
        <v>1</v>
      </c>
      <c r="H13" s="3" t="n">
        <v>2</v>
      </c>
      <c r="I13" s="3" t="n">
        <v>2</v>
      </c>
      <c r="J13" s="3" t="n">
        <v>0</v>
      </c>
      <c r="K13" s="3" t="n">
        <v>1</v>
      </c>
      <c r="L13" s="3" t="n">
        <v>55</v>
      </c>
      <c r="M13" s="3" t="inlineStr">
        <is>
          <t>MEDIO</t>
        </is>
      </c>
      <c r="N13" s="3" t="inlineStr">
        <is>
          <t>Sí</t>
        </is>
      </c>
    </row>
    <row r="14">
      <c r="A14" s="2" t="inlineStr">
        <is>
          <t>NOV-C013</t>
        </is>
      </c>
      <c r="B14" s="2" t="inlineStr">
        <is>
          <t>US6936229</t>
        </is>
      </c>
      <c r="C14" s="2" t="inlineStr">
        <is>
          <t>Prior art arsenal</t>
        </is>
      </c>
      <c r="D14" s="2" t="inlineStr">
        <is>
          <t>Prior art</t>
        </is>
      </c>
      <c r="E14" s="2" t="inlineStr">
        <is>
          <t>No</t>
        </is>
      </c>
      <c r="F14" s="2" t="inlineStr">
        <is>
          <t>No</t>
        </is>
      </c>
      <c r="G14" s="2" t="n">
        <v>1</v>
      </c>
      <c r="H14" s="2" t="n">
        <v>3</v>
      </c>
      <c r="I14" s="2" t="n">
        <v>1</v>
      </c>
      <c r="J14" s="2" t="n">
        <v>3</v>
      </c>
      <c r="K14" s="2" t="n">
        <v>0</v>
      </c>
      <c r="L14" s="2" t="n">
        <v>69</v>
      </c>
      <c r="M14" s="2" t="inlineStr">
        <is>
          <t>MEDIO</t>
        </is>
      </c>
      <c r="N14" s="2" t="inlineStr">
        <is>
          <t>No</t>
        </is>
      </c>
    </row>
    <row r="15">
      <c r="A15" s="3" t="inlineStr">
        <is>
          <t>NOV-C014</t>
        </is>
      </c>
      <c r="B15" s="3" t="inlineStr">
        <is>
          <t>CN100408705</t>
        </is>
      </c>
      <c r="C15" s="3" t="inlineStr">
        <is>
          <t>Prior art arsenal</t>
        </is>
      </c>
      <c r="D15" s="3" t="inlineStr">
        <is>
          <t>Prior art</t>
        </is>
      </c>
      <c r="E15" s="3" t="inlineStr">
        <is>
          <t>No</t>
        </is>
      </c>
      <c r="F15" s="3" t="inlineStr">
        <is>
          <t>No</t>
        </is>
      </c>
      <c r="G15" s="3" t="n">
        <v>1</v>
      </c>
      <c r="H15" s="3" t="n">
        <v>2</v>
      </c>
      <c r="I15" s="3" t="n">
        <v>1</v>
      </c>
      <c r="J15" s="3" t="n">
        <v>3</v>
      </c>
      <c r="K15" s="3" t="n">
        <v>0</v>
      </c>
      <c r="L15" s="3" t="n">
        <v>59</v>
      </c>
      <c r="M15" s="3" t="inlineStr">
        <is>
          <t>MEDIO</t>
        </is>
      </c>
      <c r="N15" s="3" t="inlineStr">
        <is>
          <t>No</t>
        </is>
      </c>
    </row>
    <row r="16">
      <c r="A16" s="2" t="inlineStr">
        <is>
          <t>NOV-C015</t>
        </is>
      </c>
      <c r="B16" s="2" t="inlineStr">
        <is>
          <t>US4723962</t>
        </is>
      </c>
      <c r="C16" s="2" t="inlineStr">
        <is>
          <t>Prior art arsenal</t>
        </is>
      </c>
      <c r="D16" s="2" t="inlineStr">
        <is>
          <t>Prior art</t>
        </is>
      </c>
      <c r="E16" s="2" t="inlineStr">
        <is>
          <t>No</t>
        </is>
      </c>
      <c r="F16" s="2" t="inlineStr">
        <is>
          <t>No</t>
        </is>
      </c>
      <c r="G16" s="2" t="n">
        <v>1</v>
      </c>
      <c r="H16" s="2" t="n">
        <v>1</v>
      </c>
      <c r="I16" s="2" t="n">
        <v>1</v>
      </c>
      <c r="J16" s="2" t="n">
        <v>3</v>
      </c>
      <c r="K16" s="2" t="n">
        <v>0</v>
      </c>
      <c r="L16" s="2" t="n">
        <v>49</v>
      </c>
      <c r="M16" s="2" t="inlineStr">
        <is>
          <t>BAJO</t>
        </is>
      </c>
      <c r="N16" s="2" t="inlineStr">
        <is>
          <t>No</t>
        </is>
      </c>
    </row>
    <row r="17">
      <c r="A17" s="3" t="inlineStr">
        <is>
          <t>NOV-C016</t>
        </is>
      </c>
      <c r="B17" s="3" t="inlineStr">
        <is>
          <t>US3268289</t>
        </is>
      </c>
      <c r="C17" s="3" t="inlineStr">
        <is>
          <t>Prior art arsenal</t>
        </is>
      </c>
      <c r="D17" s="3" t="inlineStr">
        <is>
          <t>Prior art</t>
        </is>
      </c>
      <c r="E17" s="3" t="inlineStr">
        <is>
          <t>No</t>
        </is>
      </c>
      <c r="F17" s="3" t="inlineStr">
        <is>
          <t>No</t>
        </is>
      </c>
      <c r="G17" s="3" t="n">
        <v>1</v>
      </c>
      <c r="H17" s="3" t="n">
        <v>3</v>
      </c>
      <c r="I17" s="3" t="n">
        <v>1</v>
      </c>
      <c r="J17" s="3" t="n">
        <v>3</v>
      </c>
      <c r="K17" s="3" t="n">
        <v>0</v>
      </c>
      <c r="L17" s="3" t="n">
        <v>69</v>
      </c>
      <c r="M17" s="3" t="inlineStr">
        <is>
          <t>MEDIO</t>
        </is>
      </c>
      <c r="N17" s="3" t="inlineStr">
        <is>
          <t>No</t>
        </is>
      </c>
    </row>
    <row r="18">
      <c r="A18" s="2" t="inlineStr">
        <is>
          <t>NOV-C017</t>
        </is>
      </c>
      <c r="B18" s="2" t="inlineStr">
        <is>
          <t>US6547836</t>
        </is>
      </c>
      <c r="C18" s="2" t="inlineStr">
        <is>
          <t>Prior art arsenal</t>
        </is>
      </c>
      <c r="D18" s="2" t="inlineStr">
        <is>
          <t>Prior art</t>
        </is>
      </c>
      <c r="E18" s="2" t="inlineStr">
        <is>
          <t>No</t>
        </is>
      </c>
      <c r="F18" s="2" t="inlineStr">
        <is>
          <t>No</t>
        </is>
      </c>
      <c r="G18" s="2" t="n">
        <v>1</v>
      </c>
      <c r="H18" s="2" t="n">
        <v>3</v>
      </c>
      <c r="I18" s="2" t="n">
        <v>1</v>
      </c>
      <c r="J18" s="2" t="n">
        <v>3</v>
      </c>
      <c r="K18" s="2" t="n">
        <v>0</v>
      </c>
      <c r="L18" s="2" t="n">
        <v>69</v>
      </c>
      <c r="M18" s="2" t="inlineStr">
        <is>
          <t>MEDIO</t>
        </is>
      </c>
      <c r="N18" s="2" t="inlineStr">
        <is>
          <t>No</t>
        </is>
      </c>
    </row>
    <row r="19">
      <c r="A19" s="3" t="inlineStr">
        <is>
          <t>NOV-C018</t>
        </is>
      </c>
      <c r="B19" s="3" t="inlineStr">
        <is>
          <t>WO2021092013 / US12268992 / CN115591404</t>
        </is>
      </c>
      <c r="C19" s="3" t="inlineStr">
        <is>
          <t>Monitor crítico / vigilancia amplia</t>
        </is>
      </c>
      <c r="D19" s="3" t="inlineStr">
        <is>
          <t>Tier 2</t>
        </is>
      </c>
      <c r="E19" s="3" t="inlineStr">
        <is>
          <t>No</t>
        </is>
      </c>
      <c r="F19" s="3" t="inlineStr">
        <is>
          <t>Sí</t>
        </is>
      </c>
      <c r="G19" s="3" t="n">
        <v>2</v>
      </c>
      <c r="H19" s="3" t="n">
        <v>2</v>
      </c>
      <c r="I19" s="3" t="n">
        <v>2</v>
      </c>
      <c r="J19" s="3" t="n">
        <v>0</v>
      </c>
      <c r="K19" s="3" t="n">
        <v>1</v>
      </c>
      <c r="L19" s="3" t="n">
        <v>70</v>
      </c>
      <c r="M19" s="3" t="inlineStr">
        <is>
          <t>MEDIO</t>
        </is>
      </c>
      <c r="N19" s="3" t="inlineStr">
        <is>
          <t>Sí</t>
        </is>
      </c>
    </row>
    <row r="20">
      <c r="A20" s="2" t="inlineStr">
        <is>
          <t>NOV-C019</t>
        </is>
      </c>
      <c r="B20" s="2" t="inlineStr">
        <is>
          <t>CN102602966</t>
        </is>
      </c>
      <c r="C20" s="2" t="inlineStr">
        <is>
          <t>Prior art + monitor histórico</t>
        </is>
      </c>
      <c r="D20" s="2" t="inlineStr">
        <is>
          <t>Prior art</t>
        </is>
      </c>
      <c r="E20" s="2" t="inlineStr">
        <is>
          <t>No</t>
        </is>
      </c>
      <c r="F20" s="2" t="inlineStr">
        <is>
          <t>No</t>
        </is>
      </c>
      <c r="G20" s="2" t="n">
        <v>1</v>
      </c>
      <c r="H20" s="2" t="n">
        <v>2</v>
      </c>
      <c r="I20" s="2" t="n">
        <v>1</v>
      </c>
      <c r="J20" s="2" t="n">
        <v>3</v>
      </c>
      <c r="K20" s="2" t="n">
        <v>0</v>
      </c>
      <c r="L20" s="2" t="n">
        <v>59</v>
      </c>
      <c r="M20" s="2" t="inlineStr">
        <is>
          <t>MEDIO</t>
        </is>
      </c>
      <c r="N20" s="2" t="inlineStr">
        <is>
          <t>No</t>
        </is>
      </c>
    </row>
    <row r="21">
      <c r="A21" s="3" t="inlineStr">
        <is>
          <t>NOV-C020</t>
        </is>
      </c>
      <c r="B21" s="3" t="inlineStr">
        <is>
          <t>CN114105173</t>
        </is>
      </c>
      <c r="C21" s="3" t="inlineStr">
        <is>
          <t>Monitor crítico / posible Tier 2 alto</t>
        </is>
      </c>
      <c r="D21" s="3" t="inlineStr">
        <is>
          <t>Tier 2</t>
        </is>
      </c>
      <c r="E21" s="3" t="inlineStr">
        <is>
          <t>No</t>
        </is>
      </c>
      <c r="F21" s="3" t="inlineStr">
        <is>
          <t>Sí</t>
        </is>
      </c>
      <c r="G21" s="3" t="n">
        <v>1</v>
      </c>
      <c r="H21" s="3" t="n">
        <v>2</v>
      </c>
      <c r="I21" s="3" t="n">
        <v>2</v>
      </c>
      <c r="J21" s="3" t="n">
        <v>0</v>
      </c>
      <c r="K21" s="3" t="n">
        <v>0</v>
      </c>
      <c r="L21" s="3" t="n">
        <v>66</v>
      </c>
      <c r="M21" s="3" t="inlineStr">
        <is>
          <t>MEDIO</t>
        </is>
      </c>
      <c r="N21" s="3" t="inlineStr">
        <is>
          <t>Sí</t>
        </is>
      </c>
    </row>
    <row r="22">
      <c r="A22" s="2" t="inlineStr">
        <is>
          <t>NOV-C021</t>
        </is>
      </c>
      <c r="B22" s="2" t="inlineStr">
        <is>
          <t>US11235282</t>
        </is>
      </c>
      <c r="C22" s="2" t="inlineStr">
        <is>
          <t>Monitor técnico / adyacente</t>
        </is>
      </c>
      <c r="D22" s="2" t="inlineStr">
        <is>
          <t>Tier 3</t>
        </is>
      </c>
      <c r="E22" s="2" t="inlineStr">
        <is>
          <t>No</t>
        </is>
      </c>
      <c r="F22" s="2" t="inlineStr">
        <is>
          <t>Sí</t>
        </is>
      </c>
      <c r="G22" s="2" t="n">
        <v>1</v>
      </c>
      <c r="H22" s="2" t="n">
        <v>3</v>
      </c>
      <c r="I22" s="2" t="n">
        <v>1</v>
      </c>
      <c r="J22" s="2" t="n">
        <v>0</v>
      </c>
      <c r="K22" s="2" t="n">
        <v>0</v>
      </c>
      <c r="L22" s="2" t="n">
        <v>61</v>
      </c>
      <c r="M22" s="2" t="inlineStr">
        <is>
          <t>MEDIO</t>
        </is>
      </c>
      <c r="N22" s="2" t="inlineStr">
        <is>
          <t>No</t>
        </is>
      </c>
    </row>
    <row r="23">
      <c r="A23" s="3" t="inlineStr">
        <is>
          <t>NOV-C022</t>
        </is>
      </c>
      <c r="B23" s="3" t="inlineStr">
        <is>
          <t>US6143260</t>
        </is>
      </c>
      <c r="C23" s="3" t="inlineStr">
        <is>
          <t>Prior art arsenal</t>
        </is>
      </c>
      <c r="D23" s="3" t="inlineStr">
        <is>
          <t>Prior art</t>
        </is>
      </c>
      <c r="E23" s="3" t="inlineStr">
        <is>
          <t>No</t>
        </is>
      </c>
      <c r="F23" s="3" t="inlineStr">
        <is>
          <t>No</t>
        </is>
      </c>
      <c r="G23" s="3" t="n">
        <v>1</v>
      </c>
      <c r="H23" s="3" t="n">
        <v>2</v>
      </c>
      <c r="I23" s="3" t="n">
        <v>1</v>
      </c>
      <c r="J23" s="3" t="n">
        <v>3</v>
      </c>
      <c r="K23" s="3" t="n">
        <v>0</v>
      </c>
      <c r="L23" s="3" t="n">
        <v>59</v>
      </c>
      <c r="M23" s="3" t="inlineStr">
        <is>
          <t>MEDIO</t>
        </is>
      </c>
      <c r="N23" s="3" t="inlineStr">
        <is>
          <t>No</t>
        </is>
      </c>
    </row>
    <row r="24">
      <c r="A24" s="2" t="inlineStr">
        <is>
          <t>NOV-C023</t>
        </is>
      </c>
      <c r="B24" s="2" t="inlineStr">
        <is>
          <t>CN108341421 / AR108605</t>
        </is>
      </c>
      <c r="C24" s="2" t="inlineStr">
        <is>
          <t>Monitor crítico / patentability context</t>
        </is>
      </c>
      <c r="D24" s="2" t="inlineStr">
        <is>
          <t>Tier 2</t>
        </is>
      </c>
      <c r="E24" s="2" t="inlineStr">
        <is>
          <t>No</t>
        </is>
      </c>
      <c r="F24" s="2" t="inlineStr">
        <is>
          <t>Sí</t>
        </is>
      </c>
      <c r="G24" s="2" t="n">
        <v>2</v>
      </c>
      <c r="H24" s="2" t="n">
        <v>3</v>
      </c>
      <c r="I24" s="2" t="n">
        <v>2</v>
      </c>
      <c r="J24" s="2" t="n">
        <v>0</v>
      </c>
      <c r="K24" s="2" t="n">
        <v>0</v>
      </c>
      <c r="L24" s="2" t="n">
        <v>84</v>
      </c>
      <c r="M24" s="2" t="inlineStr">
        <is>
          <t>ALTO</t>
        </is>
      </c>
      <c r="N24" s="2" t="inlineStr">
        <is>
          <t>Sí</t>
        </is>
      </c>
    </row>
    <row r="25">
      <c r="A25" s="3" t="inlineStr">
        <is>
          <t>NOV-C024</t>
        </is>
      </c>
      <c r="B25" s="3" t="inlineStr">
        <is>
          <t>US7449161</t>
        </is>
      </c>
      <c r="C25" s="3" t="inlineStr">
        <is>
          <t>Prior art + contexto estratégico</t>
        </is>
      </c>
      <c r="D25" s="3" t="inlineStr">
        <is>
          <t>Prior art</t>
        </is>
      </c>
      <c r="E25" s="3" t="inlineStr">
        <is>
          <t>No</t>
        </is>
      </c>
      <c r="F25" s="3" t="inlineStr">
        <is>
          <t>No</t>
        </is>
      </c>
      <c r="G25" s="3" t="n">
        <v>1</v>
      </c>
      <c r="H25" s="3" t="n">
        <v>2</v>
      </c>
      <c r="I25" s="3" t="n">
        <v>1</v>
      </c>
      <c r="J25" s="3" t="n">
        <v>3</v>
      </c>
      <c r="K25" s="3" t="n">
        <v>0</v>
      </c>
      <c r="L25" s="3" t="n">
        <v>59</v>
      </c>
      <c r="M25" s="3" t="inlineStr">
        <is>
          <t>MEDIO</t>
        </is>
      </c>
      <c r="N25" s="3" t="inlineStr">
        <is>
          <t>No</t>
        </is>
      </c>
    </row>
    <row r="26">
      <c r="A26" s="2" t="inlineStr">
        <is>
          <t>NOV-C025</t>
        </is>
      </c>
      <c r="B26" s="2" t="inlineStr">
        <is>
          <t>US3342548</t>
        </is>
      </c>
      <c r="C26" s="2" t="inlineStr">
        <is>
          <t>Prior art histórico</t>
        </is>
      </c>
      <c r="D26" s="2" t="inlineStr">
        <is>
          <t>Prior art</t>
        </is>
      </c>
      <c r="E26" s="2" t="inlineStr">
        <is>
          <t>No</t>
        </is>
      </c>
      <c r="F26" s="2" t="inlineStr">
        <is>
          <t>No</t>
        </is>
      </c>
      <c r="G26" s="2" t="n">
        <v>1</v>
      </c>
      <c r="H26" s="2" t="n">
        <v>2</v>
      </c>
      <c r="I26" s="2" t="n">
        <v>1</v>
      </c>
      <c r="J26" s="2" t="n">
        <v>3</v>
      </c>
      <c r="K26" s="2" t="n">
        <v>0</v>
      </c>
      <c r="L26" s="2" t="n">
        <v>59</v>
      </c>
      <c r="M26" s="2" t="inlineStr">
        <is>
          <t>MEDIO</t>
        </is>
      </c>
      <c r="N26" s="2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1" customWidth="1" min="2" max="2"/>
    <col width="32" customWidth="1" min="3" max="3"/>
    <col width="12" customWidth="1" min="4" max="4"/>
    <col width="42" customWidth="1" min="5" max="5"/>
    <col width="19" customWidth="1" min="6" max="6"/>
    <col width="42" customWidth="1" min="7" max="7"/>
    <col width="17" customWidth="1" min="8" max="8"/>
    <col width="25" customWidth="1" min="9" max="9"/>
    <col width="16" customWidth="1" min="10" max="10"/>
  </cols>
  <sheetData>
    <row r="1">
      <c r="A1" s="1" t="inlineStr">
        <is>
          <t>family_id</t>
        </is>
      </c>
      <c r="B1" s="1" t="inlineStr">
        <is>
          <t>family</t>
        </is>
      </c>
      <c r="C1" s="1" t="inlineStr">
        <is>
          <t>analytical_role</t>
        </is>
      </c>
      <c r="D1" s="1" t="inlineStr">
        <is>
          <t>tier</t>
        </is>
      </c>
      <c r="E1" s="1" t="inlineStr">
        <is>
          <t>suggested_action</t>
        </is>
      </c>
      <c r="F1" s="1" t="inlineStr">
        <is>
          <t>operational_state</t>
        </is>
      </c>
      <c r="G1" s="1" t="inlineStr">
        <is>
          <t>source_url</t>
        </is>
      </c>
      <c r="H1" s="1" t="inlineStr">
        <is>
          <t>screening_score</t>
        </is>
      </c>
      <c r="I1" s="1" t="inlineStr">
        <is>
          <t>screening_traffic_light</t>
        </is>
      </c>
      <c r="J1" s="1" t="inlineStr">
        <is>
          <t>shortlist_flag</t>
        </is>
      </c>
    </row>
    <row r="2">
      <c r="A2" s="2" t="inlineStr">
        <is>
          <t>NOV-C001</t>
        </is>
      </c>
      <c r="B2" s="2" t="inlineStr">
        <is>
          <t>CN105540620 / US9005557 / WO2012099637</t>
        </is>
      </c>
      <c r="C2" s="2" t="inlineStr">
        <is>
          <t>Blocking risk + claim chart</t>
        </is>
      </c>
      <c r="D2" s="2" t="inlineStr">
        <is>
          <t>Tier 1</t>
        </is>
      </c>
      <c r="E2" s="2" t="inlineStr">
        <is>
          <t>Verificar miembros CL/AR/CA y maintenance US; claim chart profundo ya iniciado</t>
        </is>
      </c>
      <c r="F2" s="2" t="inlineStr">
        <is>
          <t>Mantener crítica</t>
        </is>
      </c>
      <c r="G2" s="2" t="inlineStr">
        <is>
          <t>https://patents.google.com/patent/US9005557/en</t>
        </is>
      </c>
      <c r="H2" s="2" t="n">
        <v>113</v>
      </c>
      <c r="I2" s="2" t="inlineStr">
        <is>
          <t>ALTO</t>
        </is>
      </c>
      <c r="J2" s="2" t="inlineStr">
        <is>
          <t>Sí</t>
        </is>
      </c>
    </row>
    <row r="3">
      <c r="A3" s="3" t="inlineStr">
        <is>
          <t>NOV-C002</t>
        </is>
      </c>
      <c r="B3" s="3" t="inlineStr">
        <is>
          <t>US11219863 / CN109368670 / WO2020073611</t>
        </is>
      </c>
      <c r="C3" s="3" t="inlineStr">
        <is>
          <t>Blocking risk + claim chart</t>
        </is>
      </c>
      <c r="D3" s="3" t="inlineStr">
        <is>
          <t>Tier 1</t>
        </is>
      </c>
      <c r="E3" s="3" t="inlineStr">
        <is>
          <t>Corroborar CN oficial; profundizar diferencias de feed vs post-crystallization liquor</t>
        </is>
      </c>
      <c r="F3" s="3" t="inlineStr">
        <is>
          <t>Mantener crítica</t>
        </is>
      </c>
      <c r="G3" s="3" t="inlineStr">
        <is>
          <t>https://patents.google.com/patent/US11219863B2/en</t>
        </is>
      </c>
      <c r="H3" s="3" t="n">
        <v>105</v>
      </c>
      <c r="I3" s="3" t="inlineStr">
        <is>
          <t>ALTO</t>
        </is>
      </c>
      <c r="J3" s="3" t="inlineStr">
        <is>
          <t>Sí</t>
        </is>
      </c>
    </row>
    <row r="4">
      <c r="A4" s="2" t="inlineStr">
        <is>
          <t>NOV-C003</t>
        </is>
      </c>
      <c r="B4" s="2" t="inlineStr">
        <is>
          <t>US11203542 / CN110603339 / WO2018208305</t>
        </is>
      </c>
      <c r="C4" s="2" t="inlineStr">
        <is>
          <t>Blocking risk + claim chart</t>
        </is>
      </c>
      <c r="D4" s="2" t="inlineStr">
        <is>
          <t>Tier 1</t>
        </is>
      </c>
      <c r="E4" s="2" t="inlineStr">
        <is>
          <t>Confirmar contraparte CL si existe activa; cerrar lectura claim-by-claim dependientes críticos</t>
        </is>
      </c>
      <c r="F4" s="2" t="inlineStr">
        <is>
          <t>Mantener crítica</t>
        </is>
      </c>
      <c r="G4" s="2" t="inlineStr">
        <is>
          <t>https://patents.google.com/patent/US11203542B2/en</t>
        </is>
      </c>
      <c r="H4" s="2" t="n">
        <v>113</v>
      </c>
      <c r="I4" s="2" t="inlineStr">
        <is>
          <t>ALTO</t>
        </is>
      </c>
      <c r="J4" s="2" t="inlineStr">
        <is>
          <t>Sí</t>
        </is>
      </c>
    </row>
    <row r="5">
      <c r="A5" s="3" t="inlineStr">
        <is>
          <t>NOV-C004</t>
        </is>
      </c>
      <c r="B5" s="3" t="inlineStr">
        <is>
          <t>CN103074502</t>
        </is>
      </c>
      <c r="C5" s="3" t="inlineStr">
        <is>
          <t>Blocking risk CN + claim chart</t>
        </is>
      </c>
      <c r="D5" s="3" t="inlineStr">
        <is>
          <t>Tier 1</t>
        </is>
      </c>
      <c r="E5" s="3" t="inlineStr">
        <is>
          <t>Validar status CNIPA si se escala a opinión formal; documentar diferenciación carnallita/bischofita</t>
        </is>
      </c>
      <c r="F5" s="3" t="inlineStr">
        <is>
          <t>Mantener crítica</t>
        </is>
      </c>
      <c r="G5" s="3" t="inlineStr">
        <is>
          <t>https://patents.google.com/patent/CN103074502B/en</t>
        </is>
      </c>
      <c r="H5" s="3" t="n">
        <v>92</v>
      </c>
      <c r="I5" s="3" t="inlineStr">
        <is>
          <t>ALTO</t>
        </is>
      </c>
      <c r="J5" s="3" t="inlineStr">
        <is>
          <t>Sí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42" customWidth="1" min="3" max="3"/>
    <col width="29" customWidth="1" min="4" max="4"/>
    <col width="29" customWidth="1" min="5" max="5"/>
    <col width="42" customWidth="1" min="6" max="6"/>
  </cols>
  <sheetData>
    <row r="1">
      <c r="A1" s="1" t="inlineStr">
        <is>
          <t>indicator</t>
        </is>
      </c>
      <c r="B1" s="1" t="inlineStr">
        <is>
          <t>value</t>
        </is>
      </c>
      <c r="C1" s="1" t="inlineStr">
        <is>
          <t>reading</t>
        </is>
      </c>
      <c r="D1" s="1" t="inlineStr">
        <is>
          <t>source_base</t>
        </is>
      </c>
      <c r="E1" s="1" t="inlineStr">
        <is>
          <t>criterion</t>
        </is>
      </c>
      <c r="F1" s="1" t="inlineStr">
        <is>
          <t>comment</t>
        </is>
      </c>
    </row>
    <row r="2">
      <c r="A2" s="2" t="inlineStr">
        <is>
          <t>Total familias/anchors en matriz consolidada</t>
        </is>
      </c>
      <c r="B2" s="2">
        <f>COUNTA('02_MATRIZ_CONSOLIDADA'!A:A)-3</f>
        <v/>
      </c>
      <c r="C2" s="2" t="inlineStr">
        <is>
          <t>Universo de screening trabajado en esta iteración</t>
        </is>
      </c>
      <c r="D2" s="2" t="inlineStr">
        <is>
          <t>02_MATRIZ_CONSOLIDADA</t>
        </is>
      </c>
      <c r="E2" s="2" t="inlineStr">
        <is>
          <t>Cobertura razonable inicial</t>
        </is>
      </c>
      <c r="F2" s="2" t="inlineStr">
        <is>
          <t>No equivale a “todo el universo mundial”, sino al universo defendible levantado con seed set + expansión temática</t>
        </is>
      </c>
    </row>
    <row r="3">
      <c r="A3" s="3" t="inlineStr">
        <is>
          <t>Tier 1 cerradas en claim chart</t>
        </is>
      </c>
      <c r="B3" s="3" t="n">
        <v>4</v>
      </c>
      <c r="C3" s="3" t="inlineStr">
        <is>
          <t>Bloque profundo ya trabajado</t>
        </is>
      </c>
      <c r="D3" s="3" t="inlineStr">
        <is>
          <t>Tier1 workbooks</t>
        </is>
      </c>
      <c r="E3" s="3" t="inlineStr">
        <is>
          <t>Cierre profundo inicial</t>
        </is>
      </c>
      <c r="F3" s="3" t="inlineStr">
        <is>
          <t>Albemarle, US11219863, US11203542 y CN103074502</t>
        </is>
      </c>
    </row>
    <row r="4">
      <c r="A4" s="2" t="inlineStr">
        <is>
          <t>Shortlist post-screening</t>
        </is>
      </c>
      <c r="B4" s="2">
        <f>COUNTIF('08_SHORTLIST_POST_SCREENING'!G:G,"Sí")</f>
        <v/>
      </c>
      <c r="C4" s="2" t="inlineStr">
        <is>
          <t>Familias que siguen a FTO/monitor reforzado</t>
        </is>
      </c>
      <c r="D4" s="2" t="inlineStr">
        <is>
          <t>03_SCREENING + 08_SHORTLIST</t>
        </is>
      </c>
      <c r="E4" s="2" t="inlineStr">
        <is>
          <t>Priorización</t>
        </is>
      </c>
      <c r="F4" s="2" t="inlineStr">
        <is>
          <t>Incluye Tier1 y Tier2 altos</t>
        </is>
      </c>
    </row>
    <row r="5">
      <c r="A5" s="3" t="inlineStr">
        <is>
          <t>Rol blocking risk + claim chart</t>
        </is>
      </c>
      <c r="B5" s="3">
        <f>COUNTIF('03_SCREENING'!C:C,"Blocking risk + claim chart")+COUNTIF('03_SCREENING'!C:C,"Blocking risk CN + claim chart")</f>
        <v/>
      </c>
      <c r="C5" s="3" t="inlineStr">
        <is>
          <t>Exposición inmediata</t>
        </is>
      </c>
      <c r="D5" s="3" t="inlineStr">
        <is>
          <t>03_SCREENING</t>
        </is>
      </c>
      <c r="E5" s="3" t="inlineStr">
        <is>
          <t>Riesgo alto</t>
        </is>
      </c>
      <c r="F5" s="3" t="inlineStr">
        <is>
          <t>Corresponde a familias con análisis claim-by-claim o equivalente</t>
        </is>
      </c>
    </row>
    <row r="6">
      <c r="A6" s="2" t="inlineStr">
        <is>
          <t>Rol prior art</t>
        </is>
      </c>
      <c r="B6" s="2">
        <f>COUNTIF('03_SCREENING'!C:C,"Prior art arsenal")+COUNTIF('03_SCREENING'!C:C,"Prior art + monitor histórico")+COUNTIF('03_SCREENING'!C:C,"Prior art histórico")+COUNTIF('03_SCREENING'!C:C,"Prior art + contexto estratégico")</f>
        <v/>
      </c>
      <c r="C6" s="2" t="inlineStr">
        <is>
          <t>Base para patentabilidad / invalidación</t>
        </is>
      </c>
      <c r="D6" s="2" t="inlineStr">
        <is>
          <t>03_SCREENING</t>
        </is>
      </c>
      <c r="E6" s="2" t="inlineStr">
        <is>
          <t>Apoyo estratégico</t>
        </is>
      </c>
      <c r="F6" s="2" t="inlineStr">
        <is>
          <t>No generan bloqueo vigente, pero sí limitan amplitud de claims de terceros</t>
        </is>
      </c>
    </row>
    <row r="7">
      <c r="A7" s="3" t="inlineStr">
        <is>
          <t>Jurisdicciones con presencia visible</t>
        </is>
      </c>
      <c r="B7" s="3" t="inlineStr">
        <is>
          <t>US / CN / WO / AR / CL / CA / AU / DE</t>
        </is>
      </c>
      <c r="C7" s="3" t="inlineStr">
        <is>
          <t>Huella territorial del corpus consolidado</t>
        </is>
      </c>
      <c r="D7" s="3" t="inlineStr">
        <is>
          <t>02_MATRIZ_CONSOLIDADA</t>
        </is>
      </c>
      <c r="E7" s="3" t="inlineStr">
        <is>
          <t>Presencia visible</t>
        </is>
      </c>
      <c r="F7" s="3" t="inlineStr">
        <is>
          <t>Pendiente consolidar con validación oficial fina por jurisdicción clave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2026-03-25T06:50:57Z</dcterms:created>
  <dcterms:modified xmlns:dcterms="http://purl.org/dc/terms/" xmlns:xsi="http://www.w3.org/2001/XMLSchema-instance" xsi:type="dcterms:W3CDTF">2026-03-25T06:50:57Z</dcterms:modified>
</cp:coreProperties>
</file>