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1_CONTROL" sheetId="2" state="visible" r:id="rId2"/>
    <sheet xmlns:r="http://schemas.openxmlformats.org/officeDocument/2006/relationships" name="02_MATRIZ_CONSOLIDADA" sheetId="3" state="visible" r:id="rId3"/>
    <sheet xmlns:r="http://schemas.openxmlformats.org/officeDocument/2006/relationships" name="03_SCREENING" sheetId="4" state="visible" r:id="rId4"/>
    <sheet xmlns:r="http://schemas.openxmlformats.org/officeDocument/2006/relationships" name="04_TIER1_TRAZABILIDAD" sheetId="5" state="visible" r:id="rId5"/>
    <sheet xmlns:r="http://schemas.openxmlformats.org/officeDocument/2006/relationships" name="05_PENDIENTES_VERIFICACION" sheetId="6" state="visible" r:id="rId6"/>
    <sheet xmlns:r="http://schemas.openxmlformats.org/officeDocument/2006/relationships" name="06_FUENTES_CONSOLIDADAS" sheetId="7" state="visible" r:id="rId7"/>
    <sheet xmlns:r="http://schemas.openxmlformats.org/officeDocument/2006/relationships" name="07_ROADMAP_FASE2" sheetId="8" state="visible" r:id="rId8"/>
    <sheet xmlns:r="http://schemas.openxmlformats.org/officeDocument/2006/relationships" name="08_SHORTLIST_POST_SCREENING" sheetId="9" state="visible" r:id="rId9"/>
    <sheet xmlns:r="http://schemas.openxmlformats.org/officeDocument/2006/relationships" name="09_COBERTURA_Y_HALLAZGOS" sheetId="10" state="visible" r:id="rId10"/>
  </sheets>
  <definedNames>
    <definedName name="_xlnm._FilterDatabase" localSheetId="2" hidden="1">'02_MATRIZ_CONSOLIDADA'!$A$3:$R$20</definedName>
    <definedName name="_xlnm._FilterDatabase" localSheetId="3" hidden="1">'03_SCREENING'!$A$3:$N$20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E485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0E4852"/>
      </patternFill>
    </fill>
    <fill>
      <patternFill patternType="solid">
        <fgColor rgb="00DDF4F8"/>
      </patternFill>
    </fill>
    <fill>
      <patternFill patternType="solid">
        <fgColor rgb="0038B7CC"/>
      </patternFill>
    </fill>
    <fill>
      <patternFill patternType="solid">
        <fgColor rgb="00F4CCCC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D9E2E8"/>
      </left>
      <right style="thin">
        <color rgb="00D9E2E8"/>
      </right>
      <top style="thin">
        <color rgb="00D9E2E8"/>
      </top>
      <bottom style="thin">
        <color rgb="00D9E2E8"/>
      </bottom>
    </border>
    <border>
      <left/>
      <right/>
      <top style="thin">
        <color rgb="00D9E2E8"/>
      </top>
      <bottom/>
      <diagonal/>
    </border>
    <border>
      <left/>
      <right style="thin">
        <color rgb="00D9E2E8"/>
      </right>
      <top style="thin">
        <color rgb="00D9E2E8"/>
      </top>
      <bottom/>
      <diagonal/>
    </border>
    <border>
      <left/>
      <right/>
      <top style="thin">
        <color rgb="00D9E2E8"/>
      </top>
      <bottom style="thin">
        <color rgb="00D9E2E8"/>
      </bottom>
      <diagonal/>
    </border>
    <border>
      <left/>
      <right style="thin">
        <color rgb="00D9E2E8"/>
      </right>
      <top style="thin">
        <color rgb="00D9E2E8"/>
      </top>
      <bottom style="thin">
        <color rgb="00D9E2E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MatrizConsolidada" displayName="MatrizConsolidada" ref="A3:R20" headerRowCount="1">
  <autoFilter ref="A3:R20"/>
  <tableColumns count="18">
    <tableColumn id="1" name="ID"/>
    <tableColumn id="2" name="Familia / ancla"/>
    <tableColumn id="3" name="Publicación ancla"/>
    <tableColumn id="4" name="Título"/>
    <tableColumn id="5" name="Titular"/>
    <tableColumn id="6" name="Priority"/>
    <tableColumn id="7" name="Est. expiry"/>
    <tableColumn id="8" name="Jurisdicciones visibles"/>
    <tableColumn id="9" name="Status normalizado"/>
    <tableColumn id="10" name="Módulos"/>
    <tableColumn id="11" name="Cluster"/>
    <tableColumn id="12" name="Rol analítico"/>
    <tableColumn id="13" name="Tier"/>
    <tableColumn id="14" name="Flag Tier 1"/>
    <tableColumn id="15" name="Paquete fuente"/>
    <tableColumn id="16" name="Conclusión post-screening"/>
    <tableColumn id="17" name="Acción siguiente"/>
    <tableColumn id="18" name="Notas consolidada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2" customHeight="1">
      <c r="A1" s="1" t="inlineStr">
        <is>
          <t>InnovaFirst | Fase 2 – Depuración fuerte de la Matriz Maestra de Patentes</t>
        </is>
      </c>
      <c r="B1" s="9" t="n"/>
      <c r="C1" s="9" t="n"/>
      <c r="D1" s="9" t="n"/>
      <c r="E1" s="9" t="n"/>
      <c r="F1" s="9" t="n"/>
      <c r="G1" s="9" t="n"/>
      <c r="H1" s="10" t="n"/>
    </row>
    <row r="2" ht="22" customHeight="1"/>
    <row r="3" ht="22" customHeight="1">
      <c r="A3" s="2" t="inlineStr">
        <is>
          <t>Objetivo</t>
        </is>
      </c>
      <c r="B3" s="3" t="inlineStr">
        <is>
          <t>Consolidar un universo patentario único, trazable y depurado a partir de los insumos ya construidos en Fase 1 y del seed set analítico de Fase 2.</t>
        </is>
      </c>
    </row>
    <row r="4" ht="22" customHeight="1">
      <c r="A4" s="2" t="inlineStr">
        <is>
          <t>Base utilizada</t>
        </is>
      </c>
      <c r="B4" s="3" t="inlineStr">
        <is>
          <t>Ficha Maestra del Proceso, Top 10 críticas, Claim charts Tier 1, Dashboard FTO Tier 1, Excel del consultor y arsenal de prior art.</t>
        </is>
      </c>
    </row>
    <row r="5" ht="22" customHeight="1">
      <c r="A5" s="2" t="inlineStr">
        <is>
          <t>Resultado</t>
        </is>
      </c>
      <c r="B5" s="3" t="inlineStr">
        <is>
          <t>Se genera una matriz consolidada, deduplicada y clasificada por rol analítico: blocking risk, monitor, prior art y pendiente de verificación.</t>
        </is>
      </c>
    </row>
    <row r="6" ht="22" customHeight="1">
      <c r="A6" s="2" t="inlineStr">
        <is>
          <t>Hojas del workbook</t>
        </is>
      </c>
      <c r="B6" s="3" t="inlineStr">
        <is>
          <t>Se amplía el universo de screening incorporando familias adyacentes, prior art histórico y familias recientes de procesos integrados, sin perder trazabilidad con el Tier 1 ya trabajado.</t>
        </is>
      </c>
    </row>
    <row r="7" ht="22" customHeight="1">
      <c r="A7" s="2" t="inlineStr">
        <is>
          <t>Estado</t>
        </is>
      </c>
      <c r="B7" s="3" t="inlineStr">
        <is>
          <t>Screening amplio exhaustivo razonable – iteración 1 completada; pendiente validación fina adicional por registros oficiales cuando una familia escale a opinión formal.</t>
        </is>
      </c>
    </row>
    <row r="8" ht="22" customHeight="1">
      <c r="A8" s="2" t="inlineStr">
        <is>
          <t>Criterio rector</t>
        </is>
      </c>
      <c r="B8" s="3" t="inlineStr">
        <is>
          <t>Cobertura amplia + priorización selectiva + claim chart profundo solo en familias críticas.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22" customHeight="1">
      <c r="A1" s="1" t="inlineStr">
        <is>
          <t>InnovaFirst | Control de versión y criterios</t>
        </is>
      </c>
      <c r="B1" s="9" t="n"/>
      <c r="C1" s="9" t="n"/>
      <c r="D1" s="9" t="n"/>
      <c r="E1" s="9" t="n"/>
      <c r="F1" s="10" t="n"/>
    </row>
    <row r="2" ht="22" customHeight="1"/>
    <row r="3" ht="22" customHeight="1">
      <c r="A3" s="4" t="inlineStr">
        <is>
          <t>Campo</t>
        </is>
      </c>
      <c r="B3" s="4" t="inlineStr">
        <is>
          <t>Valor</t>
        </is>
      </c>
    </row>
    <row r="4" ht="22" customHeight="1">
      <c r="A4" s="3" t="inlineStr">
        <is>
          <t>Versión</t>
        </is>
      </c>
      <c r="B4" s="3" t="inlineStr">
        <is>
          <t>v2.0 – depuración fuerte</t>
        </is>
      </c>
    </row>
    <row r="5" ht="22" customHeight="1">
      <c r="A5" s="3" t="inlineStr">
        <is>
          <t>Fecha de consolidación</t>
        </is>
      </c>
      <c r="B5" s="3" t="inlineStr">
        <is>
          <t>2026-03-24</t>
        </is>
      </c>
    </row>
    <row r="6" ht="22" customHeight="1">
      <c r="A6" s="3" t="inlineStr">
        <is>
          <t>Estado</t>
        </is>
      </c>
      <c r="B6" s="3" t="inlineStr">
        <is>
          <t>Trabajo interno de screening / no constituye opinión legal final</t>
        </is>
      </c>
    </row>
    <row r="7" ht="22" customHeight="1">
      <c r="A7" s="3" t="inlineStr">
        <is>
          <t>Fase</t>
        </is>
      </c>
      <c r="B7" s="3" t="inlineStr">
        <is>
          <t>Fase 2</t>
        </is>
      </c>
    </row>
    <row r="8" ht="22" customHeight="1">
      <c r="A8" s="3" t="inlineStr">
        <is>
          <t>Criterio de cierre para Fase 2</t>
        </is>
      </c>
      <c r="B8" s="3" t="inlineStr">
        <is>
          <t>Matriz consolidada + screening amplio documentado + shortlist crítica post-screening + Informe de Estado del Arte / Vigilancia Global</t>
        </is>
      </c>
    </row>
    <row r="9" ht="22" customHeight="1">
      <c r="A9" s="3" t="inlineStr">
        <is>
          <t>Fuentes base</t>
        </is>
      </c>
      <c r="B9" s="3" t="inlineStr">
        <is>
          <t>Innovafirst_Top10_Familias_Criticas_y_ClaimChart_Tier1.xlsx; Innovafirst_ClaimChart_Profundo_Albemarle_US11219863.xlsx; Innovafirst_ClaimChart_Profundo_Tier1_Complemento.xlsx; Innovafirst_FTO_Dashboard_Tier1.xlsx; FTO_Novandino_Patents.xlsx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42" customWidth="1" min="4" max="4"/>
    <col width="28" customWidth="1" min="5" max="5"/>
    <col width="12" customWidth="1" min="6" max="6"/>
    <col width="20" customWidth="1" min="7" max="7"/>
    <col width="34" customWidth="1" min="8" max="8"/>
    <col width="24" customWidth="1" min="9" max="9"/>
    <col width="28" customWidth="1" min="10" max="10"/>
    <col width="10" customWidth="1" min="11" max="11"/>
    <col width="24" customWidth="1" min="12" max="12"/>
    <col width="12" customWidth="1" min="13" max="13"/>
    <col width="10" customWidth="1" min="14" max="14"/>
    <col width="40" customWidth="1" min="15" max="15"/>
    <col width="24" customWidth="1" min="16" max="16"/>
    <col width="34" customWidth="1" min="17" max="17"/>
    <col width="50" customWidth="1" min="18" max="18"/>
    <col width="44" customWidth="1" min="19" max="19"/>
  </cols>
  <sheetData>
    <row r="1" ht="22" customHeight="1">
      <c r="A1" s="1" t="inlineStr">
        <is>
          <t>InnovaFirst | Matriz maestra consolidada y depurada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10" t="n"/>
      <c r="S1" s="10" t="n"/>
    </row>
    <row r="2" ht="22" customHeight="1"/>
    <row r="3" ht="22" customHeight="1">
      <c r="A3" s="4" t="inlineStr">
        <is>
          <t>ID</t>
        </is>
      </c>
      <c r="B3" s="4" t="inlineStr">
        <is>
          <t>Familia / ancla</t>
        </is>
      </c>
      <c r="C3" s="4" t="inlineStr">
        <is>
          <t>Publicación ancla</t>
        </is>
      </c>
      <c r="D3" s="4" t="inlineStr">
        <is>
          <t>Título</t>
        </is>
      </c>
      <c r="E3" s="4" t="inlineStr">
        <is>
          <t>Titular</t>
        </is>
      </c>
      <c r="F3" s="4" t="inlineStr">
        <is>
          <t>Priority</t>
        </is>
      </c>
      <c r="G3" s="4" t="inlineStr">
        <is>
          <t>Est. expiry</t>
        </is>
      </c>
      <c r="H3" s="4" t="inlineStr">
        <is>
          <t>Jurisdicciones visibles</t>
        </is>
      </c>
      <c r="I3" s="4" t="inlineStr">
        <is>
          <t>Status normalizado</t>
        </is>
      </c>
      <c r="J3" s="4" t="inlineStr">
        <is>
          <t>Módulos</t>
        </is>
      </c>
      <c r="K3" s="4" t="inlineStr">
        <is>
          <t>Cluster</t>
        </is>
      </c>
      <c r="L3" s="4" t="inlineStr">
        <is>
          <t>Rol analítico</t>
        </is>
      </c>
      <c r="M3" s="4" t="inlineStr">
        <is>
          <t>Tier</t>
        </is>
      </c>
      <c r="N3" s="4" t="inlineStr">
        <is>
          <t>Flag Tier 1</t>
        </is>
      </c>
      <c r="O3" s="4" t="inlineStr">
        <is>
          <t>Paquete fuente</t>
        </is>
      </c>
      <c r="P3" s="4" t="inlineStr">
        <is>
          <t>Conclusión post-screening</t>
        </is>
      </c>
      <c r="Q3" s="4" t="inlineStr">
        <is>
          <t>Acción siguiente</t>
        </is>
      </c>
      <c r="R3" s="4" t="inlineStr">
        <is>
          <t>Notas consolidadas</t>
        </is>
      </c>
      <c r="S3" s="4" t="inlineStr">
        <is>
          <t>URL fuente primaria</t>
        </is>
      </c>
    </row>
    <row r="4" ht="22" customHeight="1">
      <c r="A4" s="3" t="inlineStr">
        <is>
          <t>NOV-C001</t>
        </is>
      </c>
      <c r="B4" s="3" t="inlineStr">
        <is>
          <t>CN105540620 / US9005557 / WO2012099637</t>
        </is>
      </c>
      <c r="C4" s="3" t="inlineStr">
        <is>
          <t>US9005557</t>
        </is>
      </c>
      <c r="D4" s="3" t="inlineStr">
        <is>
          <t>Production of high purity Li compounds directly from Li-containing brines</t>
        </is>
      </c>
      <c r="E4" s="3" t="inlineStr">
        <is>
          <t>Albemarle (ex-Rockwood Lithium)</t>
        </is>
      </c>
      <c r="F4" s="3" t="inlineStr">
        <is>
          <t>2011-01-20</t>
        </is>
      </c>
      <c r="G4" s="3" t="inlineStr">
        <is>
          <t>2032-10-28 (US adjusted)</t>
        </is>
      </c>
      <c r="H4" s="3" t="inlineStr">
        <is>
          <t>US, CN, CL?, CA, AR; WO ceased; EP withdrawn</t>
        </is>
      </c>
      <c r="I4" s="3" t="inlineStr">
        <is>
          <t>Active grant present</t>
        </is>
      </c>
      <c r="J4" s="3" t="inlineStr">
        <is>
          <t>M2 KCl/reacción; M3 cristalización; M8 flowsheet</t>
        </is>
      </c>
      <c r="K4" s="3" t="inlineStr">
        <is>
          <t>A/B</t>
        </is>
      </c>
      <c r="L4" s="5" t="inlineStr">
        <is>
          <t>Blocking risk + claim chart</t>
        </is>
      </c>
      <c r="M4" s="3" t="inlineStr">
        <is>
          <t>Tier 1</t>
        </is>
      </c>
      <c r="N4" s="6" t="inlineStr">
        <is>
          <t>Sí</t>
        </is>
      </c>
      <c r="O4" s="3" t="inlineStr">
        <is>
          <t>Top10 + ClaimChart Profundo + Dashboard Tier1</t>
        </is>
      </c>
      <c r="P4" s="3" t="inlineStr">
        <is>
          <t>Mantener crítica</t>
        </is>
      </c>
      <c r="Q4" s="3" t="inlineStr">
        <is>
          <t>Verificar miembros CL/AR/CA y maintenance US; claim chart profundo ya iniciado</t>
        </is>
      </c>
      <c r="R4" s="3" t="inlineStr">
        <is>
          <t>Familia más sensible del eje KCl-carnallita. Riesgo subsiste por grant US aunque PCT/EP no bloqueen autónomamente.</t>
        </is>
      </c>
      <c r="S4" s="3" t="inlineStr">
        <is>
          <t>https://patents.google.com/patent/US9005557/en</t>
        </is>
      </c>
    </row>
    <row r="5" ht="22" customHeight="1">
      <c r="A5" s="3" t="inlineStr">
        <is>
          <t>NOV-C002</t>
        </is>
      </c>
      <c r="B5" s="3" t="inlineStr">
        <is>
          <t>US11219863 / CN109368670 / WO2020073611</t>
        </is>
      </c>
      <c r="C5" s="3" t="inlineStr">
        <is>
          <t>US11219863B2</t>
        </is>
      </c>
      <c r="D5" s="3" t="inlineStr">
        <is>
          <t>Method for separation and enrichment of lithium</t>
        </is>
      </c>
      <c r="E5" s="3" t="inlineStr">
        <is>
          <t>Qinghai Institute of Salt Lakes, CAS</t>
        </is>
      </c>
      <c r="F5" s="3" t="inlineStr">
        <is>
          <t>2018-10-10</t>
        </is>
      </c>
      <c r="G5" s="3" t="inlineStr">
        <is>
          <t>2039-03-19 (US anticipated)</t>
        </is>
      </c>
      <c r="H5" s="3" t="inlineStr">
        <is>
          <t>US, CN; WO ceased</t>
        </is>
      </c>
      <c r="I5" s="3" t="inlineStr">
        <is>
          <t>Active grant present</t>
        </is>
      </c>
      <c r="J5" s="3" t="inlineStr">
        <is>
          <t>M5 NF; M6 RO/ED downstream; M8 flowsheet</t>
        </is>
      </c>
      <c r="K5" s="3" t="inlineStr">
        <is>
          <t>C/D</t>
        </is>
      </c>
      <c r="L5" s="5" t="inlineStr">
        <is>
          <t>Blocking risk + claim chart</t>
        </is>
      </c>
      <c r="M5" s="3" t="inlineStr">
        <is>
          <t>Tier 1</t>
        </is>
      </c>
      <c r="N5" s="6" t="inlineStr">
        <is>
          <t>Sí</t>
        </is>
      </c>
      <c r="O5" s="3" t="inlineStr">
        <is>
          <t>Top10 + ClaimChart Profundo + Dashboard Tier1</t>
        </is>
      </c>
      <c r="P5" s="3" t="inlineStr">
        <is>
          <t>Mantener crítica</t>
        </is>
      </c>
      <c r="Q5" s="3" t="inlineStr">
        <is>
          <t>Corroborar CN oficial; profundizar diferencias de feed vs post-crystallization liquor</t>
        </is>
      </c>
      <c r="R5" s="3" t="inlineStr">
        <is>
          <t>Ruta NF/RO/ED desde aged brine. Relevancia alta por claims activos US y miembro CN de familia.</t>
        </is>
      </c>
      <c r="S5" s="3" t="inlineStr">
        <is>
          <t>https://patents.google.com/patent/US11219863B2/en</t>
        </is>
      </c>
    </row>
    <row r="6" ht="22" customHeight="1">
      <c r="A6" s="3" t="inlineStr">
        <is>
          <t>NOV-C003</t>
        </is>
      </c>
      <c r="B6" s="3" t="inlineStr">
        <is>
          <t>US11203542 / CN110603339 / WO2018208305</t>
        </is>
      </c>
      <c r="C6" s="3" t="inlineStr">
        <is>
          <t>US11203542B2</t>
        </is>
      </c>
      <c r="D6" s="3" t="inlineStr">
        <is>
          <t>Method for softening lithium brine using nanofiltration</t>
        </is>
      </c>
      <c r="E6" s="3" t="inlineStr">
        <is>
          <t>BL Technologies / Veolia (ex-GE Water)</t>
        </is>
      </c>
      <c r="F6" s="3" t="inlineStr">
        <is>
          <t>2017-05-11</t>
        </is>
      </c>
      <c r="G6" s="3" t="inlineStr">
        <is>
          <t>2037-08-12 (US adjusted)</t>
        </is>
      </c>
      <c r="H6" s="3" t="inlineStr">
        <is>
          <t>US, CN, AR, CL?, WO</t>
        </is>
      </c>
      <c r="I6" s="3" t="inlineStr">
        <is>
          <t>Active grant present</t>
        </is>
      </c>
      <c r="J6" s="3" t="inlineStr">
        <is>
          <t>M5 NF; pretratamiento sulfato; M8 flowsheet parcial</t>
        </is>
      </c>
      <c r="K6" s="3" t="inlineStr">
        <is>
          <t>C</t>
        </is>
      </c>
      <c r="L6" s="5" t="inlineStr">
        <is>
          <t>Blocking risk + claim chart</t>
        </is>
      </c>
      <c r="M6" s="3" t="inlineStr">
        <is>
          <t>Tier 1</t>
        </is>
      </c>
      <c r="N6" s="6" t="inlineStr">
        <is>
          <t>Sí</t>
        </is>
      </c>
      <c r="O6" s="3" t="inlineStr">
        <is>
          <t>Top10 + ClaimChart Tier1 Complemento + Dashboard Tier1</t>
        </is>
      </c>
      <c r="P6" s="3" t="inlineStr">
        <is>
          <t>Mantener crítica</t>
        </is>
      </c>
      <c r="Q6" s="3" t="inlineStr">
        <is>
          <t>Confirmar contraparte CL si existe activa; cerrar lectura claim-by-claim dependientes críticos</t>
        </is>
      </c>
      <c r="R6" s="3" t="inlineStr">
        <is>
          <t>NF multipaso con dosificación de sulfato. Riesgo centrado en claims de softening por NF más que en el flowsheet completo.</t>
        </is>
      </c>
      <c r="S6" s="3" t="inlineStr">
        <is>
          <t>https://patents.google.com/patent/US11203542B2/en</t>
        </is>
      </c>
    </row>
    <row r="7" ht="22" customHeight="1">
      <c r="A7" s="3" t="inlineStr">
        <is>
          <t>NOV-C004</t>
        </is>
      </c>
      <c r="B7" s="3" t="inlineStr">
        <is>
          <t>CN103074502</t>
        </is>
      </c>
      <c r="C7" s="3" t="inlineStr">
        <is>
          <t>CN103074502B</t>
        </is>
      </c>
      <c r="D7" s="3" t="inlineStr">
        <is>
          <t>Salt lake brine treatment for separating Li from high-Mg/Li-ratio brine</t>
        </is>
      </c>
      <c r="E7" s="3" t="inlineStr">
        <is>
          <t>Minmetals Salt Lake + Qinghai ISL (CAS)</t>
        </is>
      </c>
      <c r="F7" s="3" t="inlineStr">
        <is>
          <t>2013-01-29</t>
        </is>
      </c>
      <c r="G7" s="3" t="inlineStr">
        <is>
          <t>~2033</t>
        </is>
      </c>
      <c r="H7" s="3" t="inlineStr">
        <is>
          <t>CN</t>
        </is>
      </c>
      <c r="I7" s="3" t="inlineStr">
        <is>
          <t>Active grant present</t>
        </is>
      </c>
      <c r="J7" s="3" t="inlineStr">
        <is>
          <t>M1 evaporación; M4 dilución; M5 NF; M6 RO; M7 agua</t>
        </is>
      </c>
      <c r="K7" s="3" t="inlineStr">
        <is>
          <t>A/C/D</t>
        </is>
      </c>
      <c r="L7" s="5" t="inlineStr">
        <is>
          <t>Blocking risk CN + claim chart</t>
        </is>
      </c>
      <c r="M7" s="3" t="inlineStr">
        <is>
          <t>Tier 1</t>
        </is>
      </c>
      <c r="N7" s="6" t="inlineStr">
        <is>
          <t>Sí</t>
        </is>
      </c>
      <c r="O7" s="3" t="inlineStr">
        <is>
          <t>Top10 + ClaimChart Tier1 Complemento + Dashboard Tier1</t>
        </is>
      </c>
      <c r="P7" s="3" t="inlineStr">
        <is>
          <t>Mantener crítica</t>
        </is>
      </c>
      <c r="Q7" s="3" t="inlineStr">
        <is>
          <t>Validar status CNIPA si se escala a opinión formal; documentar diferenciación carnallita/bischofita</t>
        </is>
      </c>
      <c r="R7" s="3" t="inlineStr">
        <is>
          <t>Estructuralmente cercana en eje evaporación→NF→RO, aunque con química distinta (bischofita vs carnallita).</t>
        </is>
      </c>
      <c r="S7" s="3" t="inlineStr">
        <is>
          <t>https://patents.google.com/patent/CN103074502B/en</t>
        </is>
      </c>
    </row>
    <row r="8" ht="22" customHeight="1">
      <c r="A8" s="3" t="inlineStr">
        <is>
          <t>NOV-C005</t>
        </is>
      </c>
      <c r="B8" s="3" t="inlineStr">
        <is>
          <t>CN103572071</t>
        </is>
      </c>
      <c r="C8" s="3" t="inlineStr">
        <is>
          <t>CN103572071B</t>
        </is>
      </c>
      <c r="D8" s="3" t="inlineStr">
        <is>
          <t>Method for refining Li from high Mg/Li ratio salt lake brine</t>
        </is>
      </c>
      <c r="E8" s="3" t="inlineStr">
        <is>
          <t>Qinghai Institute of Salt Lakes, CAS</t>
        </is>
      </c>
      <c r="F8" s="3" t="inlineStr">
        <is>
          <t>2013-11-15</t>
        </is>
      </c>
      <c r="G8" s="3" t="inlineStr">
        <is>
          <t>~2033</t>
        </is>
      </c>
      <c r="H8" s="3" t="inlineStr">
        <is>
          <t>CN</t>
        </is>
      </c>
      <c r="I8" s="3" t="inlineStr">
        <is>
          <t>Granted CN (a verificar fino)</t>
        </is>
      </c>
      <c r="J8" s="3" t="inlineStr">
        <is>
          <t>M1 evaporación; M5 NF; M6 RO; remoción sulfato/boro</t>
        </is>
      </c>
      <c r="K8" s="3" t="inlineStr">
        <is>
          <t>C/D</t>
        </is>
      </c>
      <c r="L8" s="7" t="inlineStr">
        <is>
          <t>Monitor / FTO periférico</t>
        </is>
      </c>
      <c r="M8" s="3" t="inlineStr">
        <is>
          <t>Tier 2</t>
        </is>
      </c>
      <c r="N8" s="3" t="inlineStr">
        <is>
          <t>No</t>
        </is>
      </c>
      <c r="O8" s="3" t="inlineStr">
        <is>
          <t>FTO_Novandino + Matriz inicial</t>
        </is>
      </c>
      <c r="P8" s="3" t="inlineStr">
        <is>
          <t>Monitor</t>
        </is>
      </c>
      <c r="Q8" s="3" t="inlineStr">
        <is>
          <t>Mantener en shortlist extendida y revisar si entra a FTO formal post-screening</t>
        </is>
      </c>
      <c r="R8" s="3" t="inlineStr">
        <is>
          <t>Secuencia integrada con remoción de sulfato y boro. Menor cercanía por upstream chemistry distinta.</t>
        </is>
      </c>
      <c r="S8" s="3" t="inlineStr">
        <is>
          <t>https://patents.google.com/patent/CN103572071B/en</t>
        </is>
      </c>
    </row>
    <row r="9" ht="22" customHeight="1">
      <c r="A9" s="3" t="inlineStr">
        <is>
          <t>NOV-C006</t>
        </is>
      </c>
      <c r="B9" s="3" t="inlineStr">
        <is>
          <t>DE102015000872</t>
        </is>
      </c>
      <c r="C9" s="3" t="inlineStr">
        <is>
          <t>DE102015000872A1</t>
        </is>
      </c>
      <c r="D9" s="3" t="inlineStr">
        <is>
          <t>Method for recovering lithium chloride from natural brines</t>
        </is>
      </c>
      <c r="E9" s="3" t="inlineStr">
        <is>
          <t>K-UTEC AG Salt Technologies (probable)</t>
        </is>
      </c>
      <c r="F9" s="3" t="inlineStr">
        <is>
          <t>2015-01-23</t>
        </is>
      </c>
      <c r="G9" s="3" t="inlineStr">
        <is>
          <t>~2035 si grant</t>
        </is>
      </c>
      <c r="H9" s="3" t="inlineStr">
        <is>
          <t>DE</t>
        </is>
      </c>
      <c r="I9" s="3" t="inlineStr">
        <is>
          <t>Published only / verify grant</t>
        </is>
      </c>
      <c r="J9" s="3" t="inlineStr">
        <is>
          <t>M2 KCl; M3 evaporación al vacío; M8 flowsheet</t>
        </is>
      </c>
      <c r="K9" s="3" t="inlineStr">
        <is>
          <t>A/B</t>
        </is>
      </c>
      <c r="L9" s="7" t="inlineStr">
        <is>
          <t>Monitor + verify status</t>
        </is>
      </c>
      <c r="M9" s="3" t="inlineStr">
        <is>
          <t>Tier 2</t>
        </is>
      </c>
      <c r="N9" s="3" t="inlineStr">
        <is>
          <t>No</t>
        </is>
      </c>
      <c r="O9" s="3" t="inlineStr">
        <is>
          <t>FTO_Novandino + Matriz inicial</t>
        </is>
      </c>
      <c r="P9" s="3" t="inlineStr">
        <is>
          <t>Pendiente status</t>
        </is>
      </c>
      <c r="Q9" s="3" t="inlineStr">
        <is>
          <t>Verificar si hubo grant o familia EP; no asumir bloqueo mientras no cierre status</t>
        </is>
      </c>
      <c r="R9" s="3" t="inlineStr">
        <is>
          <t>Interesa por combinación KCl + vacío, pero alcance territorial y status son inciertos.</t>
        </is>
      </c>
      <c r="S9" s="3" t="inlineStr">
        <is>
          <t>https://patents.google.com/patent/DE102015000872A1/en</t>
        </is>
      </c>
    </row>
    <row r="10" ht="22" customHeight="1">
      <c r="A10" s="3" t="inlineStr">
        <is>
          <t>NOV-C007</t>
        </is>
      </c>
      <c r="B10" s="3" t="inlineStr">
        <is>
          <t>US8641992</t>
        </is>
      </c>
      <c r="C10" s="3" t="inlineStr">
        <is>
          <t>US8641992B2</t>
        </is>
      </c>
      <c r="D10" s="3" t="inlineStr">
        <is>
          <t>Process for recovering lithium from a brine</t>
        </is>
      </c>
      <c r="E10" s="3" t="inlineStr">
        <is>
          <t>ADY Resources / Arcadium (ex-Rincon Lithium)</t>
        </is>
      </c>
      <c r="F10" s="3" t="inlineStr">
        <is>
          <t>2008-07-18</t>
        </is>
      </c>
      <c r="G10" s="3" t="inlineStr">
        <is>
          <t>~2029</t>
        </is>
      </c>
      <c r="H10" s="3" t="inlineStr">
        <is>
          <t>US, AU</t>
        </is>
      </c>
      <c r="I10" s="3" t="inlineStr">
        <is>
          <t>Active / nearing expiry</t>
        </is>
      </c>
      <c r="J10" s="3" t="inlineStr">
        <is>
          <t>M1 evaporación; M7 recuperación condensado; química NaOH/lime</t>
        </is>
      </c>
      <c r="K10" s="3" t="inlineStr">
        <is>
          <t>D</t>
        </is>
      </c>
      <c r="L10" s="7" t="inlineStr">
        <is>
          <t>Monitor / prior art contrastivo</t>
        </is>
      </c>
      <c r="M10" s="3" t="inlineStr">
        <is>
          <t>Tier 3</t>
        </is>
      </c>
      <c r="N10" s="3" t="inlineStr">
        <is>
          <t>No</t>
        </is>
      </c>
      <c r="O10" s="3" t="inlineStr">
        <is>
          <t>FTO_Novandino + Matriz inicial</t>
        </is>
      </c>
      <c r="P10" s="3" t="inlineStr">
        <is>
          <t>Monitor bajo</t>
        </is>
      </c>
      <c r="Q10" s="3" t="inlineStr">
        <is>
          <t>Mantener como referencia de diferenciación y vigilar expiración</t>
        </is>
      </c>
      <c r="R10" s="3" t="inlineStr">
        <is>
          <t>Diferenciador útil: Mg removal con cal/soda, sin KCl ni NF.</t>
        </is>
      </c>
      <c r="S10" s="3" t="inlineStr">
        <is>
          <t>https://patents.google.com/patent/US8641992B2/en</t>
        </is>
      </c>
    </row>
    <row r="11" ht="22" customHeight="1">
      <c r="A11" s="3" t="inlineStr">
        <is>
          <t>NOV-C008</t>
        </is>
      </c>
      <c r="B11" s="3" t="inlineStr">
        <is>
          <t>CN105540619</t>
        </is>
      </c>
      <c r="C11" s="3" t="inlineStr">
        <is>
          <t>CN105540619B</t>
        </is>
      </c>
      <c r="D11" s="3" t="inlineStr">
        <is>
          <t>Battery-grade Li2CO3 from high Mg/Li ratio brine</t>
        </is>
      </c>
      <c r="E11" s="3" t="inlineStr">
        <is>
          <t>Qinghai Lithium Industry Co.</t>
        </is>
      </c>
      <c r="F11" s="3" t="inlineStr">
        <is>
          <t>2015-08-17</t>
        </is>
      </c>
      <c r="G11" s="3" t="inlineStr">
        <is>
          <t>~2035</t>
        </is>
      </c>
      <c r="H11" s="3" t="inlineStr">
        <is>
          <t>CN</t>
        </is>
      </c>
      <c r="I11" s="3" t="inlineStr">
        <is>
          <t>Granted CN (a verificar fino)</t>
        </is>
      </c>
      <c r="J11" s="3" t="inlineStr">
        <is>
          <t>M8 ruta integrada a producto</t>
        </is>
      </c>
      <c r="K11" s="3" t="inlineStr">
        <is>
          <t>D</t>
        </is>
      </c>
      <c r="L11" s="7" t="inlineStr">
        <is>
          <t>Monitor</t>
        </is>
      </c>
      <c r="M11" s="3" t="inlineStr">
        <is>
          <t>Tier 2</t>
        </is>
      </c>
      <c r="N11" s="3" t="inlineStr">
        <is>
          <t>No</t>
        </is>
      </c>
      <c r="O11" s="3" t="inlineStr">
        <is>
          <t>Matriz inicial + screening previo</t>
        </is>
      </c>
      <c r="P11" s="3" t="inlineStr">
        <is>
          <t>Monitor</t>
        </is>
      </c>
      <c r="Q11" s="3" t="inlineStr">
        <is>
          <t>Mantener como familia contexto, no claim chart inmediato</t>
        </is>
      </c>
      <c r="R11" s="3" t="inlineStr">
        <is>
          <t>Relevancia más ligada a ruta integrada a producto que al core KCl/NF actual.</t>
        </is>
      </c>
      <c r="S11" s="3" t="inlineStr">
        <is>
          <t>https://patents.google.com/patent/CN105540619B/en</t>
        </is>
      </c>
    </row>
    <row r="12" ht="22" customHeight="1">
      <c r="A12" s="3" t="inlineStr">
        <is>
          <t>NOV-C009</t>
        </is>
      </c>
      <c r="B12" s="3" t="inlineStr">
        <is>
          <t>CN114735726 / WO2023159899 / US20240262704</t>
        </is>
      </c>
      <c r="C12" s="3" t="inlineStr">
        <is>
          <t>CN114735726B</t>
        </is>
      </c>
      <c r="D12" s="3" t="inlineStr">
        <is>
          <t>CaCl2-type brine evaporating and Mg-removing process</t>
        </is>
      </c>
      <c r="E12" s="3" t="inlineStr">
        <is>
          <t>Chinese entity</t>
        </is>
      </c>
      <c r="F12" s="3" t="inlineStr">
        <is>
          <t>2022-xx-xx</t>
        </is>
      </c>
      <c r="G12" s="3" t="inlineStr">
        <is>
          <t>~2042</t>
        </is>
      </c>
      <c r="H12" s="3" t="inlineStr">
        <is>
          <t>CN, WO, US, CL, GB, ES (family visible)</t>
        </is>
      </c>
      <c r="I12" s="3" t="inlineStr">
        <is>
          <t>Recent family with international footprint</t>
        </is>
      </c>
      <c r="J12" s="3" t="inlineStr">
        <is>
          <t>M1 evaporación; M2 Mg-removal chemistry</t>
        </is>
      </c>
      <c r="K12" s="3" t="inlineStr">
        <is>
          <t>A/D</t>
        </is>
      </c>
      <c r="L12" s="7" t="inlineStr">
        <is>
          <t>Monitor crítico / vigilancia</t>
        </is>
      </c>
      <c r="M12" s="3" t="inlineStr">
        <is>
          <t>Tier 2</t>
        </is>
      </c>
      <c r="N12" s="3" t="inlineStr">
        <is>
          <t>No</t>
        </is>
      </c>
      <c r="O12" s="3" t="inlineStr">
        <is>
          <t>Top10 + screening analítico</t>
        </is>
      </c>
      <c r="P12" s="3" t="inlineStr">
        <is>
          <t>Monitor reforzado</t>
        </is>
      </c>
      <c r="Q12" s="3" t="inlineStr">
        <is>
          <t>Revisar prosecution y claims en US/WO/CL si avanzan</t>
        </is>
      </c>
      <c r="R12" s="3" t="inlineStr">
        <is>
          <t>Sube de prioridad por huella internacional reciente. No bloqueo directo aún, pero alta necesidad de monitoreo.</t>
        </is>
      </c>
      <c r="S12" s="3" t="inlineStr">
        <is>
          <t>https://patents.google.com/patent/CN114735726B/en</t>
        </is>
      </c>
    </row>
    <row r="13" ht="22" customHeight="1">
      <c r="A13" s="3" t="inlineStr">
        <is>
          <t>NOV-C010</t>
        </is>
      </c>
      <c r="B13" s="3" t="inlineStr">
        <is>
          <t>CN116161680</t>
        </is>
      </c>
      <c r="C13" s="3" t="inlineStr">
        <is>
          <t>CN116161680B</t>
        </is>
      </c>
      <c r="D13" s="3" t="inlineStr">
        <is>
          <t>Process for producing KCl by using primary carnallite ore</t>
        </is>
      </c>
      <c r="E13" s="3" t="inlineStr">
        <is>
          <t>Bluestar Lehigh Engineering</t>
        </is>
      </c>
      <c r="F13" s="3" t="inlineStr">
        <is>
          <t>2022-12-19</t>
        </is>
      </c>
      <c r="G13" s="3" t="inlineStr">
        <is>
          <t>~2042</t>
        </is>
      </c>
      <c r="H13" s="3" t="inlineStr">
        <is>
          <t>CN</t>
        </is>
      </c>
      <c r="I13" s="3" t="inlineStr">
        <is>
          <t>Granted CN / non-core</t>
        </is>
      </c>
      <c r="J13" s="3" t="inlineStr">
        <is>
          <t>M2/M3 carnallita-KCl</t>
        </is>
      </c>
      <c r="K13" s="3" t="inlineStr">
        <is>
          <t>B</t>
        </is>
      </c>
      <c r="L13" s="7" t="inlineStr">
        <is>
          <t>Monitor técnico</t>
        </is>
      </c>
      <c r="M13" s="3" t="inlineStr">
        <is>
          <t>Tier 3</t>
        </is>
      </c>
      <c r="N13" s="3" t="inlineStr">
        <is>
          <t>No</t>
        </is>
      </c>
      <c r="O13" s="3" t="inlineStr">
        <is>
          <t>Matriz inicial</t>
        </is>
      </c>
      <c r="P13" s="3" t="inlineStr">
        <is>
          <t>Monitor periférico</t>
        </is>
      </c>
      <c r="Q13" s="3" t="inlineStr">
        <is>
          <t>Mantener fuera de shortlist crítica salvo cambio de scope</t>
        </is>
      </c>
      <c r="R13" s="3" t="inlineStr">
        <is>
          <t>Más ligado a obtención de KCl desde mineral primario que a separación Li/Mg desde brine.</t>
        </is>
      </c>
      <c r="S13" s="3" t="inlineStr">
        <is>
          <t>https://patents.google.com/patent/CN116161680B/en</t>
        </is>
      </c>
    </row>
    <row r="14" ht="22" customHeight="1">
      <c r="A14" s="3" t="inlineStr">
        <is>
          <t>NOV-C011</t>
        </is>
      </c>
      <c r="B14" s="3" t="inlineStr">
        <is>
          <t>US8784755</t>
        </is>
      </c>
      <c r="C14" s="3" t="inlineStr">
        <is>
          <t>US8784755B2</t>
        </is>
      </c>
      <c r="D14" s="3" t="inlineStr">
        <is>
          <t>Process for obtaining potassium chloride from carnallite</t>
        </is>
      </c>
      <c r="E14" s="3" t="inlineStr">
        <is>
          <t>Vale-related (BR)</t>
        </is>
      </c>
      <c r="F14" s="3" t="inlineStr">
        <is>
          <t>~2008</t>
        </is>
      </c>
      <c r="G14" s="3" t="inlineStr">
        <is>
          <t>~2028</t>
        </is>
      </c>
      <c r="H14" s="3" t="inlineStr">
        <is>
          <t>US</t>
        </is>
      </c>
      <c r="I14" s="3" t="inlineStr">
        <is>
          <t>Granted / nearing expiry</t>
        </is>
      </c>
      <c r="J14" s="3" t="inlineStr">
        <is>
          <t>M2/M3 carnallita-KCl</t>
        </is>
      </c>
      <c r="K14" s="3" t="inlineStr">
        <is>
          <t>B</t>
        </is>
      </c>
      <c r="L14" s="7" t="inlineStr">
        <is>
          <t>Monitor técnico</t>
        </is>
      </c>
      <c r="M14" s="3" t="inlineStr">
        <is>
          <t>Tier 3</t>
        </is>
      </c>
      <c r="N14" s="3" t="inlineStr">
        <is>
          <t>No</t>
        </is>
      </c>
      <c r="O14" s="3" t="inlineStr">
        <is>
          <t>Matriz inicial</t>
        </is>
      </c>
      <c r="P14" s="3" t="inlineStr">
        <is>
          <t>Monitor periférico</t>
        </is>
      </c>
      <c r="Q14" s="3" t="inlineStr">
        <is>
          <t>Mantener en universo pero fuera de análisis profundo inmediato</t>
        </is>
      </c>
      <c r="R14" s="3" t="inlineStr">
        <is>
          <t>Relevancia secundaria; más útil como contexto de carnallita que como bloqueo directo al proceso Novandino.</t>
        </is>
      </c>
      <c r="S14" s="3" t="inlineStr">
        <is>
          <t>https://patents.google.com/patent/US8784755B2/en</t>
        </is>
      </c>
    </row>
    <row r="15" ht="22" customHeight="1">
      <c r="A15" s="3" t="inlineStr">
        <is>
          <t>NOV-C012</t>
        </is>
      </c>
      <c r="B15" s="3" t="inlineStr">
        <is>
          <t>US20240375972</t>
        </is>
      </c>
      <c r="C15" s="3" t="inlineStr">
        <is>
          <t>US20240375972A1</t>
        </is>
      </c>
      <c r="D15" s="3" t="inlineStr">
        <is>
          <t>Processes for recovering lithium from brines</t>
        </is>
      </c>
      <c r="E15" s="3" t="inlineStr">
        <is>
          <t>Albemarle Corporation</t>
        </is>
      </c>
      <c r="F15" s="3" t="inlineStr">
        <is>
          <t>2024-01-19</t>
        </is>
      </c>
      <c r="G15" s="3" t="inlineStr">
        <is>
          <t>Pending</t>
        </is>
      </c>
      <c r="H15" s="3" t="inlineStr">
        <is>
          <t>US (pending)</t>
        </is>
      </c>
      <c r="I15" s="3" t="inlineStr">
        <is>
          <t>Pending</t>
        </is>
      </c>
      <c r="J15" s="3" t="inlineStr">
        <is>
          <t>M8 broad brine processing</t>
        </is>
      </c>
      <c r="K15" s="3" t="inlineStr">
        <is>
          <t>A/C/D</t>
        </is>
      </c>
      <c r="L15" s="7" t="inlineStr">
        <is>
          <t>Monitor prosecution</t>
        </is>
      </c>
      <c r="M15" s="3" t="inlineStr">
        <is>
          <t>Tier 2</t>
        </is>
      </c>
      <c r="N15" s="3" t="inlineStr">
        <is>
          <t>No</t>
        </is>
      </c>
      <c r="O15" s="3" t="inlineStr">
        <is>
          <t>Matriz inicial</t>
        </is>
      </c>
      <c r="P15" s="3" t="inlineStr">
        <is>
          <t>Monitor pending</t>
        </is>
      </c>
      <c r="Q15" s="3" t="inlineStr">
        <is>
          <t>Monitoreo periódico de prosecution y claims enmendados</t>
        </is>
      </c>
      <c r="R15" s="3" t="inlineStr">
        <is>
          <t>No bloqueará hasta grant, pero puede alterar landscape Albemarle y ensanchar riesgo futuro.</t>
        </is>
      </c>
      <c r="S15" s="3" t="inlineStr">
        <is>
          <t>https://patents.google.com/patent/US20240375972A1/en</t>
        </is>
      </c>
    </row>
    <row r="16" ht="22" customHeight="1">
      <c r="A16" s="3" t="inlineStr">
        <is>
          <t>NOV-C013</t>
        </is>
      </c>
      <c r="B16" s="3" t="inlineStr">
        <is>
          <t>US6936229</t>
        </is>
      </c>
      <c r="C16" s="3" t="inlineStr">
        <is>
          <t>US6936229B1</t>
        </is>
      </c>
      <c r="D16" s="3" t="inlineStr">
        <is>
          <t>Recovery of lithium compounds from brines</t>
        </is>
      </c>
      <c r="E16" s="3" t="inlineStr">
        <is>
          <t>Chemetall / Albemarle</t>
        </is>
      </c>
      <c r="F16" s="3" t="inlineStr">
        <is>
          <t>1998-07-16</t>
        </is>
      </c>
      <c r="G16" s="3" t="inlineStr">
        <is>
          <t>Expired</t>
        </is>
      </c>
      <c r="H16" s="3" t="inlineStr">
        <is>
          <t>US</t>
        </is>
      </c>
      <c r="I16" s="3" t="inlineStr">
        <is>
          <t>Expired</t>
        </is>
      </c>
      <c r="J16" s="3" t="inlineStr">
        <is>
          <t>M1/M2 prior art Atacama-brine</t>
        </is>
      </c>
      <c r="K16" s="3" t="inlineStr">
        <is>
          <t>A/D</t>
        </is>
      </c>
      <c r="L16" s="8" t="inlineStr">
        <is>
          <t>Prior art arsenal</t>
        </is>
      </c>
      <c r="M16" s="3" t="inlineStr">
        <is>
          <t>Prior art</t>
        </is>
      </c>
      <c r="N16" s="3" t="inlineStr">
        <is>
          <t>No</t>
        </is>
      </c>
      <c r="O16" s="3" t="inlineStr">
        <is>
          <t>Prior Art Arsenal + Matriz inicial</t>
        </is>
      </c>
      <c r="P16" s="3" t="inlineStr">
        <is>
          <t>Prior art</t>
        </is>
      </c>
      <c r="Q16" s="3" t="inlineStr">
        <is>
          <t>Citar como arte previo fundacional en patentabilidad y potencial invalidación</t>
        </is>
      </c>
      <c r="R16" s="3" t="inlineStr">
        <is>
          <t>Muy útil contra monopolización amplia del concepto carnallita/brines.</t>
        </is>
      </c>
      <c r="S16" s="3" t="inlineStr">
        <is>
          <t>https://patents.google.com/patent/US6936229B1/en</t>
        </is>
      </c>
    </row>
    <row r="17" ht="22" customHeight="1">
      <c r="A17" s="3" t="inlineStr">
        <is>
          <t>NOV-C014</t>
        </is>
      </c>
      <c r="B17" s="3" t="inlineStr">
        <is>
          <t>CN100408705</t>
        </is>
      </c>
      <c r="C17" s="3" t="inlineStr">
        <is>
          <t>CN100408705C</t>
        </is>
      </c>
      <c r="D17" s="3" t="inlineStr">
        <is>
          <t>Method for separating Mg and enriching Li from salt lake brine by NF</t>
        </is>
      </c>
      <c r="E17" s="3" t="inlineStr">
        <is>
          <t>Qinghai ISL (CAS) / Ma Peihua</t>
        </is>
      </c>
      <c r="F17" s="3" t="inlineStr">
        <is>
          <t>2003-04-30</t>
        </is>
      </c>
      <c r="G17" s="3" t="inlineStr">
        <is>
          <t>Expired Apr 2023</t>
        </is>
      </c>
      <c r="H17" s="3" t="inlineStr">
        <is>
          <t>CN</t>
        </is>
      </c>
      <c r="I17" s="3" t="inlineStr">
        <is>
          <t>Expired</t>
        </is>
      </c>
      <c r="J17" s="3" t="inlineStr">
        <is>
          <t>M5 NF Mg/Li</t>
        </is>
      </c>
      <c r="K17" s="3" t="inlineStr">
        <is>
          <t>C</t>
        </is>
      </c>
      <c r="L17" s="8" t="inlineStr">
        <is>
          <t>Prior art arsenal</t>
        </is>
      </c>
      <c r="M17" s="3" t="inlineStr">
        <is>
          <t>Prior art</t>
        </is>
      </c>
      <c r="N17" s="3" t="inlineStr">
        <is>
          <t>No</t>
        </is>
      </c>
      <c r="O17" s="3" t="inlineStr">
        <is>
          <t>Prior Art Arsenal + Matriz inicial</t>
        </is>
      </c>
      <c r="P17" s="3" t="inlineStr">
        <is>
          <t>Prior art</t>
        </is>
      </c>
      <c r="Q17" s="3" t="inlineStr">
        <is>
          <t>Usar para patentabilidad propia y como apoyo contra claims sucesores</t>
        </is>
      </c>
      <c r="R17" s="3" t="inlineStr">
        <is>
          <t>Arte previo fundacional para NF Mg/Li; reduce margen para claims excesivamente amplios en NF.</t>
        </is>
      </c>
      <c r="S17" s="3" t="inlineStr">
        <is>
          <t>https://patents.google.com/patent/CN100408705C/en</t>
        </is>
      </c>
    </row>
    <row r="18" ht="22" customHeight="1">
      <c r="A18" s="3" t="inlineStr">
        <is>
          <t>NOV-C015</t>
        </is>
      </c>
      <c r="B18" s="3" t="inlineStr">
        <is>
          <t>US4723962</t>
        </is>
      </c>
      <c r="C18" s="3" t="inlineStr">
        <is>
          <t>US4723962A</t>
        </is>
      </c>
      <c r="D18" s="3" t="inlineStr">
        <is>
          <t>Process for recovering lithium from salt brines</t>
        </is>
      </c>
      <c r="E18" s="3" t="inlineStr">
        <is>
          <t>Foote Mineral Co. (Albemarle)</t>
        </is>
      </c>
      <c r="F18" s="3" t="inlineStr">
        <is>
          <t>~1985</t>
        </is>
      </c>
      <c r="G18" s="3" t="inlineStr">
        <is>
          <t>Expired</t>
        </is>
      </c>
      <c r="H18" s="3" t="inlineStr">
        <is>
          <t>US</t>
        </is>
      </c>
      <c r="I18" s="3" t="inlineStr">
        <is>
          <t>Expired</t>
        </is>
      </c>
      <c r="J18" s="3" t="inlineStr">
        <is>
          <t>M3 evaporación al vacío 45–60°C</t>
        </is>
      </c>
      <c r="K18" s="3" t="inlineStr">
        <is>
          <t>B/D</t>
        </is>
      </c>
      <c r="L18" s="8" t="inlineStr">
        <is>
          <t>Prior art arsenal</t>
        </is>
      </c>
      <c r="M18" s="3" t="inlineStr">
        <is>
          <t>Prior art</t>
        </is>
      </c>
      <c r="N18" s="3" t="inlineStr">
        <is>
          <t>No</t>
        </is>
      </c>
      <c r="O18" s="3" t="inlineStr">
        <is>
          <t>Prior Art Arsenal + Matriz inicial</t>
        </is>
      </c>
      <c r="P18" s="3" t="inlineStr">
        <is>
          <t>Prior art</t>
        </is>
      </c>
      <c r="Q18" s="3" t="inlineStr">
        <is>
          <t>Mantener como arte previo técnico clave</t>
        </is>
      </c>
      <c r="R18" s="3" t="inlineStr">
        <is>
          <t>Útil para mostrar conocimiento previo de vacío/temperatura en concentración de brines de litio.</t>
        </is>
      </c>
      <c r="S18" s="3" t="inlineStr">
        <is>
          <t>https://patents.google.com/patent/US4723962A/en</t>
        </is>
      </c>
    </row>
    <row r="19" ht="22" customHeight="1">
      <c r="A19" s="3" t="inlineStr">
        <is>
          <t>NOV-C016</t>
        </is>
      </c>
      <c r="B19" s="3" t="inlineStr">
        <is>
          <t>US3268289</t>
        </is>
      </c>
      <c r="C19" s="3" t="inlineStr">
        <is>
          <t>US3268289A</t>
        </is>
      </c>
      <c r="D19" s="3" t="inlineStr">
        <is>
          <t>Evaporative process for carnallite from brines</t>
        </is>
      </c>
      <c r="E19" s="3" t="inlineStr">
        <is>
          <t>Various (1966)</t>
        </is>
      </c>
      <c r="F19" s="3" t="inlineStr">
        <is>
          <t>1964-xx-xx</t>
        </is>
      </c>
      <c r="G19" s="3" t="inlineStr">
        <is>
          <t>Expired</t>
        </is>
      </c>
      <c r="H19" s="3" t="inlineStr">
        <is>
          <t>US</t>
        </is>
      </c>
      <c r="I19" s="3" t="inlineStr">
        <is>
          <t>Expired</t>
        </is>
      </c>
      <c r="J19" s="3" t="inlineStr">
        <is>
          <t>M2/M3 carnallita por evaporación</t>
        </is>
      </c>
      <c r="K19" s="3" t="inlineStr">
        <is>
          <t>A/B</t>
        </is>
      </c>
      <c r="L19" s="8" t="inlineStr">
        <is>
          <t>Prior art arsenal</t>
        </is>
      </c>
      <c r="M19" s="3" t="inlineStr">
        <is>
          <t>Prior art</t>
        </is>
      </c>
      <c r="N19" s="3" t="inlineStr">
        <is>
          <t>No</t>
        </is>
      </c>
      <c r="O19" s="3" t="inlineStr">
        <is>
          <t>Prior Art Arsenal + Matriz inicial</t>
        </is>
      </c>
      <c r="P19" s="3" t="inlineStr">
        <is>
          <t>Prior art</t>
        </is>
      </c>
      <c r="Q19" s="3" t="inlineStr">
        <is>
          <t>Citar como evidencia histórica contra claims demasiado amplios</t>
        </is>
      </c>
      <c r="R19" s="3" t="inlineStr">
        <is>
          <t>Arte previo fundacional del concepto carnallita desde brines.</t>
        </is>
      </c>
      <c r="S19" s="3" t="inlineStr">
        <is>
          <t>https://patents.google.com/patent/US3268289A/en</t>
        </is>
      </c>
    </row>
    <row r="20" ht="22" customHeight="1">
      <c r="A20" s="3" t="inlineStr">
        <is>
          <t>NOV-C017</t>
        </is>
      </c>
      <c r="B20" s="3" t="inlineStr">
        <is>
          <t>US6547836</t>
        </is>
      </c>
      <c r="C20" s="3" t="inlineStr">
        <is>
          <t>US6547836B1</t>
        </is>
      </c>
      <c r="D20" s="3" t="inlineStr">
        <is>
          <t>Monohydrated lithium sulfate from natural brines</t>
        </is>
      </c>
      <c r="E20" s="3" t="inlineStr">
        <is>
          <t>SQM</t>
        </is>
      </c>
      <c r="F20" s="3" t="inlineStr">
        <is>
          <t>2000-xx-xx</t>
        </is>
      </c>
      <c r="G20" s="3" t="inlineStr">
        <is>
          <t>Expired/near expiry depending family</t>
        </is>
      </c>
      <c r="H20" s="3" t="inlineStr">
        <is>
          <t>US</t>
        </is>
      </c>
      <c r="I20" s="3" t="inlineStr">
        <is>
          <t>Prior art context</t>
        </is>
      </c>
      <c r="J20" s="3" t="inlineStr">
        <is>
          <t>M1/M2 Atacama prior art</t>
        </is>
      </c>
      <c r="K20" s="3" t="inlineStr">
        <is>
          <t>A/D</t>
        </is>
      </c>
      <c r="L20" s="8" t="inlineStr">
        <is>
          <t>Prior art arsenal</t>
        </is>
      </c>
      <c r="M20" s="3" t="inlineStr">
        <is>
          <t>Prior art</t>
        </is>
      </c>
      <c r="N20" s="3" t="inlineStr">
        <is>
          <t>No</t>
        </is>
      </c>
      <c r="O20" s="3" t="inlineStr">
        <is>
          <t>Prior Art Arsenal</t>
        </is>
      </c>
      <c r="P20" s="3" t="inlineStr">
        <is>
          <t>Prior art</t>
        </is>
      </c>
      <c r="Q20" s="3" t="inlineStr">
        <is>
          <t>Confirmar estatus exacto si se usa en sección jurídica; mantener como arte previo</t>
        </is>
      </c>
      <c r="R20" s="3" t="inlineStr">
        <is>
          <t>Muy útil para el contexto Atacama/carnallita/bischofita y como contrapeso estratégico frente a actores chilenos.</t>
        </is>
      </c>
      <c r="S20" s="3" t="inlineStr">
        <is>
          <t>https://patents.google.com/patent/US6547836B1/en</t>
        </is>
      </c>
    </row>
    <row r="21" ht="22" customHeight="1">
      <c r="A21" s="3" t="inlineStr">
        <is>
          <t>NOV-C018</t>
        </is>
      </c>
      <c r="B21" s="3" t="inlineStr">
        <is>
          <t>WO2021092013 / US12268992 / CN115591404</t>
        </is>
      </c>
      <c r="C21" s="3" t="inlineStr">
        <is>
          <t>US12268992B2</t>
        </is>
      </c>
      <c r="D21" s="3" t="inlineStr">
        <is>
          <t>Methods and systems for reducing magnesium in high salinity salar brines by nanofiltration and forward osmosis</t>
        </is>
      </c>
      <c r="E21" s="3" t="inlineStr">
        <is>
          <t>Fluid Technology Solutions (FTS)</t>
        </is>
      </c>
      <c r="F21" s="3" t="inlineStr">
        <is>
          <t>2019-11-06</t>
        </is>
      </c>
      <c r="G21" s="3" t="inlineStr">
        <is>
          <t>~2040</t>
        </is>
      </c>
      <c r="H21" s="3" t="inlineStr">
        <is>
          <t>US, WO, CN-visible successors</t>
        </is>
      </c>
      <c r="I21" s="3" t="inlineStr">
        <is>
          <t>Active grant/pending family mix</t>
        </is>
      </c>
      <c r="J21" s="3" t="inlineStr">
        <is>
          <t>M5 NF; M7 water/FO; M8 flowsheet</t>
        </is>
      </c>
      <c r="K21" s="3" t="inlineStr">
        <is>
          <t>C/D</t>
        </is>
      </c>
      <c r="L21" s="5" t="inlineStr">
        <is>
          <t>Monitor crítico / vigilancia amplia</t>
        </is>
      </c>
      <c r="M21" s="3" t="inlineStr">
        <is>
          <t>Tier 2</t>
        </is>
      </c>
      <c r="N21" s="6" t="inlineStr">
        <is>
          <t>No</t>
        </is>
      </c>
      <c r="O21" s="3" t="inlineStr">
        <is>
          <t>Web screening amplio 2026</t>
        </is>
      </c>
      <c r="P21" s="3" t="inlineStr">
        <is>
          <t>Mantener en shortlist extendida</t>
        </is>
      </c>
      <c r="Q21" s="3" t="inlineStr">
        <is>
          <t>Revisar claims granted US12268992 y relación con NF/FO en brines de alta salinidad</t>
        </is>
      </c>
      <c r="R21" s="3" t="inlineStr">
        <is>
          <t>Familia adyacente de alta relevancia para el eje NF+FO. No es un match directo con Novandino, pero puede estrechar margen de diseño-around en membranas y gestión hídrica.</t>
        </is>
      </c>
      <c r="S21" s="3" t="inlineStr">
        <is>
          <t>https://patents.google.com/patent/WO2021092013A1/en</t>
        </is>
      </c>
    </row>
    <row r="22" ht="22" customHeight="1">
      <c r="A22" s="3" t="inlineStr">
        <is>
          <t>NOV-C019</t>
        </is>
      </c>
      <c r="B22" s="3" t="inlineStr">
        <is>
          <t>CN102602966</t>
        </is>
      </c>
      <c r="C22" s="3" t="inlineStr">
        <is>
          <t>CN102602966B</t>
        </is>
      </c>
      <c r="D22" s="3" t="inlineStr">
        <is>
          <t>Method for separating magnesium and lithium from salt lake brine and preparing lithium carbonate</t>
        </is>
      </c>
      <c r="E22" s="3" t="inlineStr">
        <is>
          <t>Chinese assignee</t>
        </is>
      </c>
      <c r="F22" s="3" t="inlineStr">
        <is>
          <t>2012-04-06</t>
        </is>
      </c>
      <c r="G22" s="3" t="inlineStr">
        <is>
          <t>Expired - fee related</t>
        </is>
      </c>
      <c r="H22" s="3" t="inlineStr">
        <is>
          <t>CN</t>
        </is>
      </c>
      <c r="I22" s="3" t="inlineStr">
        <is>
          <t>Expired - Fee Related</t>
        </is>
      </c>
      <c r="J22" s="3" t="inlineStr">
        <is>
          <t>M2 remoción Mg; M8 ruta a Li2CO3</t>
        </is>
      </c>
      <c r="K22" s="3" t="inlineStr">
        <is>
          <t>A/D</t>
        </is>
      </c>
      <c r="L22" s="5" t="inlineStr">
        <is>
          <t>Prior art + monitor histórico</t>
        </is>
      </c>
      <c r="M22" s="3" t="inlineStr">
        <is>
          <t>Prior art</t>
        </is>
      </c>
      <c r="N22" s="6" t="inlineStr">
        <is>
          <t>No</t>
        </is>
      </c>
      <c r="O22" s="3" t="inlineStr">
        <is>
          <t>Web screening amplio 2026</t>
        </is>
      </c>
      <c r="P22" s="3" t="inlineStr">
        <is>
          <t>Mantener como prior art</t>
        </is>
      </c>
      <c r="Q22" s="3" t="inlineStr">
        <is>
          <t>Usar para patentabilidad y potencial invalidación contextual</t>
        </is>
      </c>
      <c r="R22" s="3" t="inlineStr">
        <is>
          <t>Patente CN caducada por tasas; útil para demostrar que rutas de separación Mg/Li y preparación de carbonato ya estaban ampliamente divulgadas.</t>
        </is>
      </c>
      <c r="S22" s="3" t="inlineStr">
        <is>
          <t>https://patents.google.com/patent/CN102602966B/en</t>
        </is>
      </c>
    </row>
    <row r="23" ht="22" customHeight="1">
      <c r="A23" s="3" t="inlineStr">
        <is>
          <t>NOV-C020</t>
        </is>
      </c>
      <c r="B23" s="3" t="inlineStr">
        <is>
          <t>CN114105173</t>
        </is>
      </c>
      <c r="C23" s="3" t="inlineStr">
        <is>
          <t>CN114105173B</t>
        </is>
      </c>
      <c r="D23" s="3" t="inlineStr">
        <is>
          <t>System and process for extracting lithium from salt lake brine</t>
        </is>
      </c>
      <c r="E23" s="3" t="inlineStr">
        <is>
          <t>Chinese assignee</t>
        </is>
      </c>
      <c r="F23" s="3" t="inlineStr">
        <is>
          <t>2021-11-11</t>
        </is>
      </c>
      <c r="G23" s="3" t="inlineStr">
        <is>
          <t>~2041</t>
        </is>
      </c>
      <c r="H23" s="3" t="inlineStr">
        <is>
          <t>CN</t>
        </is>
      </c>
      <c r="I23" s="3" t="inlineStr">
        <is>
          <t>Active grant present</t>
        </is>
      </c>
      <c r="J23" s="3" t="inlineStr">
        <is>
          <t>M5 NF; M6 RO/ED; M7 agua; M8 sistema integrado</t>
        </is>
      </c>
      <c r="K23" s="3" t="inlineStr">
        <is>
          <t>C/D</t>
        </is>
      </c>
      <c r="L23" s="5" t="inlineStr">
        <is>
          <t>Monitor crítico / posible Tier 2 alto</t>
        </is>
      </c>
      <c r="M23" s="3" t="inlineStr">
        <is>
          <t>Tier 2</t>
        </is>
      </c>
      <c r="N23" s="6" t="inlineStr">
        <is>
          <t>No</t>
        </is>
      </c>
      <c r="O23" s="3" t="inlineStr">
        <is>
          <t>Web screening amplio 2026</t>
        </is>
      </c>
      <c r="P23" s="3" t="inlineStr">
        <is>
          <t>Sube a shortlist extendida</t>
        </is>
      </c>
      <c r="Q23" s="3" t="inlineStr">
        <is>
          <t>Verificar si amerita claim chart post-screening por integración NF/RO/ED y agua</t>
        </is>
      </c>
      <c r="R23" s="3" t="inlineStr">
        <is>
          <t>Familia reciente que cita directamente NF/RO/ED y recuperación de Mg, B, Li y agua; relevante como radar de procesos integrados chinos.</t>
        </is>
      </c>
      <c r="S23" s="3" t="inlineStr">
        <is>
          <t>https://patents.google.com/patent/CN114105173B/en</t>
        </is>
      </c>
    </row>
    <row r="24" ht="22" customHeight="1">
      <c r="A24" s="3" t="inlineStr">
        <is>
          <t>NOV-C021</t>
        </is>
      </c>
      <c r="B24" s="3" t="inlineStr">
        <is>
          <t>US11235282</t>
        </is>
      </c>
      <c r="C24" s="3" t="inlineStr">
        <is>
          <t>US11235282B2</t>
        </is>
      </c>
      <c r="D24" s="3" t="inlineStr">
        <is>
          <t>Processes for producing lithium compounds using forward osmosis</t>
        </is>
      </c>
      <c r="E24" s="3" t="inlineStr">
        <is>
          <t>Standard Lithium / related</t>
        </is>
      </c>
      <c r="F24" s="3" t="inlineStr">
        <is>
          <t>2018-03-02</t>
        </is>
      </c>
      <c r="G24" s="3" t="inlineStr">
        <is>
          <t>~2038</t>
        </is>
      </c>
      <c r="H24" s="3" t="inlineStr">
        <is>
          <t>US</t>
        </is>
      </c>
      <c r="I24" s="3" t="inlineStr">
        <is>
          <t>Active grant present</t>
        </is>
      </c>
      <c r="J24" s="3" t="inlineStr">
        <is>
          <t>M7 water/FO; M8 concentración de brinas</t>
        </is>
      </c>
      <c r="K24" s="3" t="inlineStr">
        <is>
          <t>D</t>
        </is>
      </c>
      <c r="L24" s="5" t="inlineStr">
        <is>
          <t>Monitor técnico / adyacente</t>
        </is>
      </c>
      <c r="M24" s="3" t="inlineStr">
        <is>
          <t>Tier 3</t>
        </is>
      </c>
      <c r="N24" s="6" t="inlineStr">
        <is>
          <t>No</t>
        </is>
      </c>
      <c r="O24" s="3" t="inlineStr">
        <is>
          <t>Web screening amplio 2026</t>
        </is>
      </c>
      <c r="P24" s="3" t="inlineStr">
        <is>
          <t>Monitor</t>
        </is>
      </c>
      <c r="Q24" s="3" t="inlineStr">
        <is>
          <t>Mantener fuera de shortlist crítica salvo que scope incorpore FO</t>
        </is>
      </c>
      <c r="R24" s="3" t="inlineStr">
        <is>
          <t>Adyacente por gestión hídrica y concentración de salmueras de litio; menor cercanía al core actual porque su centro está en FO, no en KCl-carnallita ni NF post-cristalización.</t>
        </is>
      </c>
      <c r="S24" s="3" t="inlineStr">
        <is>
          <t>https://patents.google.com/patent/US11235282B2/en</t>
        </is>
      </c>
    </row>
    <row r="25" ht="22" customHeight="1">
      <c r="A25" s="3" t="inlineStr">
        <is>
          <t>NOV-C022</t>
        </is>
      </c>
      <c r="B25" s="3" t="inlineStr">
        <is>
          <t>US6143260</t>
        </is>
      </c>
      <c r="C25" s="3" t="inlineStr">
        <is>
          <t>US6143260A</t>
        </is>
      </c>
      <c r="D25" s="3" t="inlineStr">
        <is>
          <t>Method for removing magnesium from brine to yield lithium carbonate</t>
        </is>
      </c>
      <c r="E25" s="3" t="inlineStr">
        <is>
          <t>Chemetall / related</t>
        </is>
      </c>
      <c r="F25" s="3" t="inlineStr">
        <is>
          <t>1998-07-16</t>
        </is>
      </c>
      <c r="G25" s="3" t="inlineStr">
        <is>
          <t>Expired</t>
        </is>
      </c>
      <c r="H25" s="3" t="inlineStr">
        <is>
          <t>US</t>
        </is>
      </c>
      <c r="I25" s="3" t="inlineStr">
        <is>
          <t>Expired</t>
        </is>
      </c>
      <c r="J25" s="3" t="inlineStr">
        <is>
          <t>M2 remoción Mg como hidróxido; M8 ruta a Li2CO3</t>
        </is>
      </c>
      <c r="K25" s="3" t="inlineStr">
        <is>
          <t>A/D</t>
        </is>
      </c>
      <c r="L25" s="5" t="inlineStr">
        <is>
          <t>Prior art arsenal</t>
        </is>
      </c>
      <c r="M25" s="3" t="inlineStr">
        <is>
          <t>Prior art</t>
        </is>
      </c>
      <c r="N25" s="6" t="inlineStr">
        <is>
          <t>No</t>
        </is>
      </c>
      <c r="O25" s="3" t="inlineStr">
        <is>
          <t>Web screening amplio 2026</t>
        </is>
      </c>
      <c r="P25" s="3" t="inlineStr">
        <is>
          <t>Prior art</t>
        </is>
      </c>
      <c r="Q25" s="3" t="inlineStr">
        <is>
          <t>Mantener como contraste químico fuerte frente a Novandino</t>
        </is>
      </c>
      <c r="R25" s="3" t="inlineStr">
        <is>
          <t>Muy útil para distinguir rutas clásicas de precipitación alcalina de la propuesta Novandino; aporta prior art robusto aunque no genere bloqueo vigente.</t>
        </is>
      </c>
      <c r="S25" s="3" t="inlineStr">
        <is>
          <t>https://patents.google.com/patent/US6143260A/en</t>
        </is>
      </c>
    </row>
    <row r="26" ht="22" customHeight="1">
      <c r="A26" s="3" t="inlineStr">
        <is>
          <t>NOV-C023</t>
        </is>
      </c>
      <c r="B26" s="3" t="inlineStr">
        <is>
          <t>CN108341421 / AR108605</t>
        </is>
      </c>
      <c r="C26" s="3" t="inlineStr">
        <is>
          <t>CN108341421B</t>
        </is>
      </c>
      <c r="D26" s="3" t="inlineStr">
        <is>
          <t>Method for directly preparing lithium carbonate from salt lake brine with high magnesium-lithium ratio</t>
        </is>
      </c>
      <c r="E26" s="3" t="inlineStr">
        <is>
          <t>Ma Peihua / Chinese assignee</t>
        </is>
      </c>
      <c r="F26" s="3" t="inlineStr">
        <is>
          <t>2017-01-24</t>
        </is>
      </c>
      <c r="G26" s="3" t="inlineStr">
        <is>
          <t>~2037</t>
        </is>
      </c>
      <c r="H26" s="3" t="inlineStr">
        <is>
          <t>CN, AR</t>
        </is>
      </c>
      <c r="I26" s="3" t="inlineStr">
        <is>
          <t>Active grant present</t>
        </is>
      </c>
      <c r="J26" s="3" t="inlineStr">
        <is>
          <t>M8 ruta integrada a producto; remoción Mg/Li</t>
        </is>
      </c>
      <c r="K26" s="3" t="inlineStr">
        <is>
          <t>D</t>
        </is>
      </c>
      <c r="L26" s="5" t="inlineStr">
        <is>
          <t>Monitor crítico / patentability context</t>
        </is>
      </c>
      <c r="M26" s="3" t="inlineStr">
        <is>
          <t>Tier 2</t>
        </is>
      </c>
      <c r="N26" s="6" t="inlineStr">
        <is>
          <t>No</t>
        </is>
      </c>
      <c r="O26" s="3" t="inlineStr">
        <is>
          <t>Web screening amplio 2026</t>
        </is>
      </c>
      <c r="P26" s="3" t="inlineStr">
        <is>
          <t>Mantener en shortlist extendida</t>
        </is>
      </c>
      <c r="Q26" s="3" t="inlineStr">
        <is>
          <t>Evaluar si impacta patentabilidad más que FTO del core actual</t>
        </is>
      </c>
      <c r="R26" s="3" t="inlineStr">
        <is>
          <t>Familia activa con huella CN/AR; más relevante para rutas integradas a producto final que para el eje específico KCl/NF, pero no conviene dejarla fuera del screening amplio.</t>
        </is>
      </c>
      <c r="S26" s="3" t="inlineStr">
        <is>
          <t>https://patents.google.com/patent/CN108341421B/en</t>
        </is>
      </c>
    </row>
    <row r="27" ht="22" customHeight="1">
      <c r="A27" s="3" t="inlineStr">
        <is>
          <t>NOV-C024</t>
        </is>
      </c>
      <c r="B27" s="3" t="inlineStr">
        <is>
          <t>US7449161</t>
        </is>
      </c>
      <c r="C27" s="3" t="inlineStr">
        <is>
          <t>US7449161B2</t>
        </is>
      </c>
      <c r="D27" s="3" t="inlineStr">
        <is>
          <t>Production of lithium compounds directly from lithium containing brines</t>
        </is>
      </c>
      <c r="E27" s="3" t="inlineStr">
        <is>
          <t>Chemetall / Rockwood lineage</t>
        </is>
      </c>
      <c r="F27" s="3" t="inlineStr">
        <is>
          <t>2001-03-27</t>
        </is>
      </c>
      <c r="G27" s="3" t="inlineStr">
        <is>
          <t>Expired/near-expired</t>
        </is>
      </c>
      <c r="H27" s="3" t="inlineStr">
        <is>
          <t>US</t>
        </is>
      </c>
      <c r="I27" s="3" t="inlineStr">
        <is>
          <t>Expired or de minimis residual risk</t>
        </is>
      </c>
      <c r="J27" s="3" t="inlineStr">
        <is>
          <t>M8 ruta integrada a compuestos de Li</t>
        </is>
      </c>
      <c r="K27" s="3" t="inlineStr">
        <is>
          <t>D</t>
        </is>
      </c>
      <c r="L27" s="5" t="inlineStr">
        <is>
          <t>Prior art + contexto estratégico</t>
        </is>
      </c>
      <c r="M27" s="3" t="inlineStr">
        <is>
          <t>Prior art</t>
        </is>
      </c>
      <c r="N27" s="6" t="inlineStr">
        <is>
          <t>No</t>
        </is>
      </c>
      <c r="O27" s="3" t="inlineStr">
        <is>
          <t>Web screening amplio 2026</t>
        </is>
      </c>
      <c r="P27" s="3" t="inlineStr">
        <is>
          <t>Prior art</t>
        </is>
      </c>
      <c r="Q27" s="3" t="inlineStr">
        <is>
          <t>Usar como contexto de rutas integradas y citación de antecedentes clásicos</t>
        </is>
      </c>
      <c r="R27" s="3" t="inlineStr">
        <is>
          <t>Documento muy rico en antecedentes citados y en descripción de rutas clásicas de purificación de brinas; útil como nodo bibliográfico de prior art.</t>
        </is>
      </c>
      <c r="S27" s="3" t="inlineStr">
        <is>
          <t>https://patents.google.com/patent/US7449161B2/en</t>
        </is>
      </c>
    </row>
    <row r="28" ht="22" customHeight="1">
      <c r="A28" s="3" t="inlineStr">
        <is>
          <t>NOV-C025</t>
        </is>
      </c>
      <c r="B28" s="3" t="inlineStr">
        <is>
          <t>US3342548</t>
        </is>
      </c>
      <c r="C28" s="3" t="inlineStr">
        <is>
          <t>US3342548A</t>
        </is>
      </c>
      <c r="D28" s="3" t="inlineStr">
        <is>
          <t>Process for the recovery of lithium and potassium values from brines</t>
        </is>
      </c>
      <c r="E28" s="3" t="inlineStr">
        <is>
          <t>Signal Oil and Gas</t>
        </is>
      </c>
      <c r="F28" s="3" t="inlineStr">
        <is>
          <t>1963-09-16</t>
        </is>
      </c>
      <c r="G28" s="3" t="inlineStr">
        <is>
          <t>Expired</t>
        </is>
      </c>
      <c r="H28" s="3" t="inlineStr">
        <is>
          <t>US</t>
        </is>
      </c>
      <c r="I28" s="3" t="inlineStr">
        <is>
          <t>Expired</t>
        </is>
      </c>
      <c r="J28" s="3" t="inlineStr">
        <is>
          <t>M1 evaporación solar; M8 contexto brine recovery</t>
        </is>
      </c>
      <c r="K28" s="3" t="inlineStr">
        <is>
          <t>A/D</t>
        </is>
      </c>
      <c r="L28" s="5" t="inlineStr">
        <is>
          <t>Prior art histórico</t>
        </is>
      </c>
      <c r="M28" s="3" t="inlineStr">
        <is>
          <t>Prior art</t>
        </is>
      </c>
      <c r="N28" s="6" t="inlineStr">
        <is>
          <t>No</t>
        </is>
      </c>
      <c r="O28" s="3" t="inlineStr">
        <is>
          <t>Web screening amplio 2026</t>
        </is>
      </c>
      <c r="P28" s="3" t="inlineStr">
        <is>
          <t>Prior art</t>
        </is>
      </c>
      <c r="Q28" s="3" t="inlineStr">
        <is>
          <t>Mantener como antecedente remoto contextual</t>
        </is>
      </c>
      <c r="R28" s="3" t="inlineStr">
        <is>
          <t>Antecedente histórico de recuperación de Li y K desde brinas; no bloquea, pero ayuda a limitar pretensiones amplias sobre manejo evaporítico de brinas.</t>
        </is>
      </c>
      <c r="S28" s="3" t="inlineStr">
        <is>
          <t>https://patents.google.com/patent/US3342548A/en</t>
        </is>
      </c>
    </row>
  </sheetData>
  <autoFilter ref="A3:R20"/>
  <mergeCells count="1">
    <mergeCell ref="A1:R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12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14" customWidth="1" min="10" max="10"/>
    <col width="16" customWidth="1" min="11" max="11"/>
    <col width="10" customWidth="1" min="12" max="12"/>
    <col width="12" customWidth="1" min="13" max="13"/>
    <col width="18" customWidth="1" min="14" max="14"/>
  </cols>
  <sheetData>
    <row r="1" ht="22" customHeight="1">
      <c r="A1" s="1" t="inlineStr">
        <is>
          <t>InnovaFirst | Screening amplio y priorización post-depuración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10" t="n"/>
    </row>
    <row r="2" ht="22" customHeight="1"/>
    <row r="3" ht="22" customHeight="1">
      <c r="A3" s="4" t="inlineStr">
        <is>
          <t>ID</t>
        </is>
      </c>
      <c r="B3" s="4" t="inlineStr">
        <is>
          <t>Familia</t>
        </is>
      </c>
      <c r="C3" s="4" t="inlineStr">
        <is>
          <t>Rol</t>
        </is>
      </c>
      <c r="D3" s="4" t="inlineStr">
        <is>
          <t>Tier</t>
        </is>
      </c>
      <c r="E3" s="4" t="inlineStr">
        <is>
          <t>Flag Tier1</t>
        </is>
      </c>
      <c r="F3" s="4" t="inlineStr">
        <is>
          <t>Status activo?</t>
        </is>
      </c>
      <c r="G3" s="4" t="inlineStr">
        <is>
          <t>Cobertura internacional</t>
        </is>
      </c>
      <c r="H3" s="4" t="inlineStr">
        <is>
          <t>Cercanía técnica</t>
        </is>
      </c>
      <c r="I3" s="4" t="inlineStr">
        <is>
          <t>Madurez claim chart</t>
        </is>
      </c>
      <c r="J3" s="4" t="inlineStr">
        <is>
          <t>Valor prior art</t>
        </is>
      </c>
      <c r="K3" s="4" t="inlineStr">
        <is>
          <t>Pendiente status</t>
        </is>
      </c>
      <c r="L3" s="4" t="inlineStr">
        <is>
          <t>Score</t>
        </is>
      </c>
      <c r="M3" s="4" t="inlineStr">
        <is>
          <t>Semáforo</t>
        </is>
      </c>
      <c r="N3" s="4" t="inlineStr">
        <is>
          <t>Sube a shortlist post-screening</t>
        </is>
      </c>
    </row>
    <row r="4" ht="22" customHeight="1">
      <c r="A4" s="3" t="inlineStr">
        <is>
          <t>NOV-C001</t>
        </is>
      </c>
      <c r="B4" s="3" t="inlineStr">
        <is>
          <t>CN105540620 / US9005557 / WO2012099637</t>
        </is>
      </c>
      <c r="C4" s="3" t="inlineStr">
        <is>
          <t>Blocking risk + claim chart</t>
        </is>
      </c>
      <c r="D4" s="3" t="inlineStr">
        <is>
          <t>Tier 1</t>
        </is>
      </c>
      <c r="E4" s="3" t="inlineStr">
        <is>
          <t>Sí</t>
        </is>
      </c>
      <c r="F4" s="3" t="inlineStr">
        <is>
          <t>Sí</t>
        </is>
      </c>
      <c r="G4" s="3" t="n">
        <v>3</v>
      </c>
      <c r="H4" s="3" t="n">
        <v>3</v>
      </c>
      <c r="I4" s="3" t="n">
        <v>3</v>
      </c>
      <c r="J4" s="3" t="n">
        <v>0</v>
      </c>
      <c r="K4" s="3" t="n">
        <v>0</v>
      </c>
      <c r="L4" s="3">
        <f>IF(C4="Blocking risk + claim chart",35,IF(LEFT(C4,8)="Blocking",30,IF(ISNUMBER(SEARCH("Monitor crítico",C4)),22,IF(ISNUMBER(SEARCH("Monitor",C4)),15,8))))+G4*8+H4*10+I4*8+J4*5-K4*4</f>
        <v/>
      </c>
      <c r="M4" s="3">
        <f>IF(L4&gt;=75,"ALTO",IF(L4&gt;=50,"MEDIO","BAJO"))</f>
        <v/>
      </c>
      <c r="N4" s="3">
        <f>IF(OR(M4="ALTO",AND(M4="MEDIO",I4&gt;=2,H4&gt;=2)),"Sí","No")</f>
        <v/>
      </c>
    </row>
    <row r="5" ht="22" customHeight="1">
      <c r="A5" s="3" t="inlineStr">
        <is>
          <t>NOV-C002</t>
        </is>
      </c>
      <c r="B5" s="3" t="inlineStr">
        <is>
          <t>US11219863 / CN109368670 / WO2020073611</t>
        </is>
      </c>
      <c r="C5" s="3" t="inlineStr">
        <is>
          <t>Blocking risk + claim chart</t>
        </is>
      </c>
      <c r="D5" s="3" t="inlineStr">
        <is>
          <t>Tier 1</t>
        </is>
      </c>
      <c r="E5" s="3" t="inlineStr">
        <is>
          <t>Sí</t>
        </is>
      </c>
      <c r="F5" s="3" t="inlineStr">
        <is>
          <t>Sí</t>
        </is>
      </c>
      <c r="G5" s="3" t="n">
        <v>2</v>
      </c>
      <c r="H5" s="3" t="n">
        <v>3</v>
      </c>
      <c r="I5" s="3" t="n">
        <v>3</v>
      </c>
      <c r="J5" s="3" t="n">
        <v>0</v>
      </c>
      <c r="K5" s="3" t="n">
        <v>0</v>
      </c>
      <c r="L5" s="3">
        <f>IF(C5="Blocking risk + claim chart",35,IF(LEFT(C5,8)="Blocking",30,IF(ISNUMBER(SEARCH("Monitor crítico",C5)),22,IF(ISNUMBER(SEARCH("Monitor",C5)),15,8))))+G5*8+H5*10+I5*8+J5*5-K5*4</f>
        <v/>
      </c>
      <c r="M5" s="3">
        <f>IF(L5&gt;=75,"ALTO",IF(L5&gt;=50,"MEDIO","BAJO"))</f>
        <v/>
      </c>
      <c r="N5" s="3">
        <f>IF(OR(M5="ALTO",AND(M5="MEDIO",I5&gt;=2,H5&gt;=2)),"Sí","No")</f>
        <v/>
      </c>
    </row>
    <row r="6" ht="22" customHeight="1">
      <c r="A6" s="3" t="inlineStr">
        <is>
          <t>NOV-C003</t>
        </is>
      </c>
      <c r="B6" s="3" t="inlineStr">
        <is>
          <t>US11203542 / CN110603339 / WO2018208305</t>
        </is>
      </c>
      <c r="C6" s="3" t="inlineStr">
        <is>
          <t>Blocking risk + claim chart</t>
        </is>
      </c>
      <c r="D6" s="3" t="inlineStr">
        <is>
          <t>Tier 1</t>
        </is>
      </c>
      <c r="E6" s="3" t="inlineStr">
        <is>
          <t>Sí</t>
        </is>
      </c>
      <c r="F6" s="3" t="inlineStr">
        <is>
          <t>Sí</t>
        </is>
      </c>
      <c r="G6" s="3" t="n">
        <v>3</v>
      </c>
      <c r="H6" s="3" t="n">
        <v>3</v>
      </c>
      <c r="I6" s="3" t="n">
        <v>3</v>
      </c>
      <c r="J6" s="3" t="n">
        <v>0</v>
      </c>
      <c r="K6" s="3" t="n">
        <v>0</v>
      </c>
      <c r="L6" s="3">
        <f>IF(C6="Blocking risk + claim chart",35,IF(LEFT(C6,8)="Blocking",30,IF(ISNUMBER(SEARCH("Monitor crítico",C6)),22,IF(ISNUMBER(SEARCH("Monitor",C6)),15,8))))+G6*8+H6*10+I6*8+J6*5-K6*4</f>
        <v/>
      </c>
      <c r="M6" s="3">
        <f>IF(L6&gt;=75,"ALTO",IF(L6&gt;=50,"MEDIO","BAJO"))</f>
        <v/>
      </c>
      <c r="N6" s="3">
        <f>IF(OR(M6="ALTO",AND(M6="MEDIO",I6&gt;=2,H6&gt;=2)),"Sí","No")</f>
        <v/>
      </c>
    </row>
    <row r="7" ht="22" customHeight="1">
      <c r="A7" s="3" t="inlineStr">
        <is>
          <t>NOV-C004</t>
        </is>
      </c>
      <c r="B7" s="3" t="inlineStr">
        <is>
          <t>CN103074502</t>
        </is>
      </c>
      <c r="C7" s="3" t="inlineStr">
        <is>
          <t>Blocking risk CN + claim chart</t>
        </is>
      </c>
      <c r="D7" s="3" t="inlineStr">
        <is>
          <t>Tier 1</t>
        </is>
      </c>
      <c r="E7" s="3" t="inlineStr">
        <is>
          <t>Sí</t>
        </is>
      </c>
      <c r="F7" s="3" t="inlineStr">
        <is>
          <t>Sí</t>
        </is>
      </c>
      <c r="G7" s="3" t="n">
        <v>1</v>
      </c>
      <c r="H7" s="3" t="n">
        <v>3</v>
      </c>
      <c r="I7" s="3" t="n">
        <v>3</v>
      </c>
      <c r="J7" s="3" t="n">
        <v>0</v>
      </c>
      <c r="K7" s="3" t="n">
        <v>0</v>
      </c>
      <c r="L7" s="3">
        <f>IF(C7="Blocking risk + claim chart",35,IF(LEFT(C7,8)="Blocking",30,IF(ISNUMBER(SEARCH("Monitor crítico",C7)),22,IF(ISNUMBER(SEARCH("Monitor",C7)),15,8))))+G7*8+H7*10+I7*8+J7*5-K7*4</f>
        <v/>
      </c>
      <c r="M7" s="3">
        <f>IF(L7&gt;=75,"ALTO",IF(L7&gt;=50,"MEDIO","BAJO"))</f>
        <v/>
      </c>
      <c r="N7" s="3">
        <f>IF(OR(M7="ALTO",AND(M7="MEDIO",I7&gt;=2,H7&gt;=2)),"Sí","No")</f>
        <v/>
      </c>
    </row>
    <row r="8" ht="22" customHeight="1">
      <c r="A8" s="3" t="inlineStr">
        <is>
          <t>NOV-C005</t>
        </is>
      </c>
      <c r="B8" s="3" t="inlineStr">
        <is>
          <t>CN103572071</t>
        </is>
      </c>
      <c r="C8" s="3" t="inlineStr">
        <is>
          <t>Monitor / FTO periférico</t>
        </is>
      </c>
      <c r="D8" s="3" t="inlineStr">
        <is>
          <t>Tier 2</t>
        </is>
      </c>
      <c r="E8" s="3" t="inlineStr">
        <is>
          <t>No</t>
        </is>
      </c>
      <c r="F8" s="3" t="inlineStr">
        <is>
          <t>Sí</t>
        </is>
      </c>
      <c r="G8" s="3" t="n">
        <v>1</v>
      </c>
      <c r="H8" s="3" t="n">
        <v>2</v>
      </c>
      <c r="I8" s="3" t="n">
        <v>2</v>
      </c>
      <c r="J8" s="3" t="n">
        <v>0</v>
      </c>
      <c r="K8" s="3" t="n">
        <v>0</v>
      </c>
      <c r="L8" s="3">
        <f>IF(C8="Blocking risk + claim chart",35,IF(LEFT(C8,8)="Blocking",30,IF(ISNUMBER(SEARCH("Monitor crítico",C8)),22,IF(ISNUMBER(SEARCH("Monitor",C8)),15,8))))+G8*8+H8*10+I8*8+J8*5-K8*4</f>
        <v/>
      </c>
      <c r="M8" s="3">
        <f>IF(L8&gt;=75,"ALTO",IF(L8&gt;=50,"MEDIO","BAJO"))</f>
        <v/>
      </c>
      <c r="N8" s="3">
        <f>IF(OR(M8="ALTO",AND(M8="MEDIO",I8&gt;=2,H8&gt;=2)),"Sí","No")</f>
        <v/>
      </c>
    </row>
    <row r="9" ht="22" customHeight="1">
      <c r="A9" s="3" t="inlineStr">
        <is>
          <t>NOV-C006</t>
        </is>
      </c>
      <c r="B9" s="3" t="inlineStr">
        <is>
          <t>DE102015000872</t>
        </is>
      </c>
      <c r="C9" s="3" t="inlineStr">
        <is>
          <t>Monitor + verify status</t>
        </is>
      </c>
      <c r="D9" s="3" t="inlineStr">
        <is>
          <t>Tier 2</t>
        </is>
      </c>
      <c r="E9" s="3" t="inlineStr">
        <is>
          <t>No</t>
        </is>
      </c>
      <c r="F9" s="3" t="inlineStr">
        <is>
          <t>Sí</t>
        </is>
      </c>
      <c r="G9" s="3" t="n">
        <v>1</v>
      </c>
      <c r="H9" s="3" t="n">
        <v>3</v>
      </c>
      <c r="I9" s="3" t="n">
        <v>2</v>
      </c>
      <c r="J9" s="3" t="n">
        <v>0</v>
      </c>
      <c r="K9" s="3" t="n">
        <v>1</v>
      </c>
      <c r="L9" s="3">
        <f>IF(C9="Blocking risk + claim chart",35,IF(LEFT(C9,8)="Blocking",30,IF(ISNUMBER(SEARCH("Monitor crítico",C9)),22,IF(ISNUMBER(SEARCH("Monitor",C9)),15,8))))+G9*8+H9*10+I9*8+J9*5-K9*4</f>
        <v/>
      </c>
      <c r="M9" s="3">
        <f>IF(L9&gt;=75,"ALTO",IF(L9&gt;=50,"MEDIO","BAJO"))</f>
        <v/>
      </c>
      <c r="N9" s="3">
        <f>IF(OR(M9="ALTO",AND(M9="MEDIO",I9&gt;=2,H9&gt;=2)),"Sí","No")</f>
        <v/>
      </c>
    </row>
    <row r="10" ht="22" customHeight="1">
      <c r="A10" s="3" t="inlineStr">
        <is>
          <t>NOV-C007</t>
        </is>
      </c>
      <c r="B10" s="3" t="inlineStr">
        <is>
          <t>US8641992</t>
        </is>
      </c>
      <c r="C10" s="3" t="inlineStr">
        <is>
          <t>Monitor / prior art contrastivo</t>
        </is>
      </c>
      <c r="D10" s="3" t="inlineStr">
        <is>
          <t>Tier 3</t>
        </is>
      </c>
      <c r="E10" s="3" t="inlineStr">
        <is>
          <t>No</t>
        </is>
      </c>
      <c r="F10" s="3" t="inlineStr">
        <is>
          <t>Sí</t>
        </is>
      </c>
      <c r="G10" s="3" t="n">
        <v>2</v>
      </c>
      <c r="H10" s="3" t="n">
        <v>3</v>
      </c>
      <c r="I10" s="3" t="n">
        <v>1</v>
      </c>
      <c r="J10" s="3" t="n">
        <v>0</v>
      </c>
      <c r="K10" s="3" t="n">
        <v>0</v>
      </c>
      <c r="L10" s="3">
        <f>IF(C10="Blocking risk + claim chart",35,IF(LEFT(C10,8)="Blocking",30,IF(ISNUMBER(SEARCH("Monitor crítico",C10)),22,IF(ISNUMBER(SEARCH("Monitor",C10)),15,8))))+G10*8+H10*10+I10*8+J10*5-K10*4</f>
        <v/>
      </c>
      <c r="M10" s="3">
        <f>IF(L10&gt;=75,"ALTO",IF(L10&gt;=50,"MEDIO","BAJO"))</f>
        <v/>
      </c>
      <c r="N10" s="3">
        <f>IF(OR(M10="ALTO",AND(M10="MEDIO",I10&gt;=2,H10&gt;=2)),"Sí","No")</f>
        <v/>
      </c>
    </row>
    <row r="11" ht="22" customHeight="1">
      <c r="A11" s="3" t="inlineStr">
        <is>
          <t>NOV-C008</t>
        </is>
      </c>
      <c r="B11" s="3" t="inlineStr">
        <is>
          <t>CN105540619</t>
        </is>
      </c>
      <c r="C11" s="3" t="inlineStr">
        <is>
          <t>Monitor</t>
        </is>
      </c>
      <c r="D11" s="3" t="inlineStr">
        <is>
          <t>Tier 2</t>
        </is>
      </c>
      <c r="E11" s="3" t="inlineStr">
        <is>
          <t>No</t>
        </is>
      </c>
      <c r="F11" s="3" t="inlineStr">
        <is>
          <t>Sí</t>
        </is>
      </c>
      <c r="G11" s="3" t="n">
        <v>1</v>
      </c>
      <c r="H11" s="3" t="n">
        <v>3</v>
      </c>
      <c r="I11" s="3" t="n">
        <v>2</v>
      </c>
      <c r="J11" s="3" t="n">
        <v>0</v>
      </c>
      <c r="K11" s="3" t="n">
        <v>0</v>
      </c>
      <c r="L11" s="3">
        <f>IF(C11="Blocking risk + claim chart",35,IF(LEFT(C11,8)="Blocking",30,IF(ISNUMBER(SEARCH("Monitor crítico",C11)),22,IF(ISNUMBER(SEARCH("Monitor",C11)),15,8))))+G11*8+H11*10+I11*8+J11*5-K11*4</f>
        <v/>
      </c>
      <c r="M11" s="3">
        <f>IF(L11&gt;=75,"ALTO",IF(L11&gt;=50,"MEDIO","BAJO"))</f>
        <v/>
      </c>
      <c r="N11" s="3">
        <f>IF(OR(M11="ALTO",AND(M11="MEDIO",I11&gt;=2,H11&gt;=2)),"Sí","No")</f>
        <v/>
      </c>
    </row>
    <row r="12" ht="22" customHeight="1">
      <c r="A12" s="3" t="inlineStr">
        <is>
          <t>NOV-C009</t>
        </is>
      </c>
      <c r="B12" s="3" t="inlineStr">
        <is>
          <t>CN114735726 / WO2023159899 / US20240262704</t>
        </is>
      </c>
      <c r="C12" s="3" t="inlineStr">
        <is>
          <t>Monitor crítico / vigilancia</t>
        </is>
      </c>
      <c r="D12" s="3" t="inlineStr">
        <is>
          <t>Tier 2</t>
        </is>
      </c>
      <c r="E12" s="3" t="inlineStr">
        <is>
          <t>No</t>
        </is>
      </c>
      <c r="F12" s="3" t="inlineStr">
        <is>
          <t>No</t>
        </is>
      </c>
      <c r="G12" s="3" t="n">
        <v>3</v>
      </c>
      <c r="H12" s="3" t="n">
        <v>2</v>
      </c>
      <c r="I12" s="3" t="n">
        <v>2</v>
      </c>
      <c r="J12" s="3" t="n">
        <v>0</v>
      </c>
      <c r="K12" s="3" t="n">
        <v>0</v>
      </c>
      <c r="L12" s="3">
        <f>IF(C12="Blocking risk + claim chart",35,IF(LEFT(C12,8)="Blocking",30,IF(ISNUMBER(SEARCH("Monitor crítico",C12)),22,IF(ISNUMBER(SEARCH("Monitor",C12)),15,8))))+G12*8+H12*10+I12*8+J12*5-K12*4</f>
        <v/>
      </c>
      <c r="M12" s="3">
        <f>IF(L12&gt;=75,"ALTO",IF(L12&gt;=50,"MEDIO","BAJO"))</f>
        <v/>
      </c>
      <c r="N12" s="3">
        <f>IF(OR(M12="ALTO",AND(M12="MEDIO",I12&gt;=2,H12&gt;=2)),"Sí","No")</f>
        <v/>
      </c>
    </row>
    <row r="13" ht="22" customHeight="1">
      <c r="A13" s="3" t="inlineStr">
        <is>
          <t>NOV-C010</t>
        </is>
      </c>
      <c r="B13" s="3" t="inlineStr">
        <is>
          <t>CN116161680</t>
        </is>
      </c>
      <c r="C13" s="3" t="inlineStr">
        <is>
          <t>Monitor técnico</t>
        </is>
      </c>
      <c r="D13" s="3" t="inlineStr">
        <is>
          <t>Tier 3</t>
        </is>
      </c>
      <c r="E13" s="3" t="inlineStr">
        <is>
          <t>No</t>
        </is>
      </c>
      <c r="F13" s="3" t="inlineStr">
        <is>
          <t>Sí</t>
        </is>
      </c>
      <c r="G13" s="3" t="n">
        <v>1</v>
      </c>
      <c r="H13" s="3" t="n">
        <v>3</v>
      </c>
      <c r="I13" s="3" t="n">
        <v>1</v>
      </c>
      <c r="J13" s="3" t="n">
        <v>0</v>
      </c>
      <c r="K13" s="3" t="n">
        <v>0</v>
      </c>
      <c r="L13" s="3">
        <f>IF(C13="Blocking risk + claim chart",35,IF(LEFT(C13,8)="Blocking",30,IF(ISNUMBER(SEARCH("Monitor crítico",C13)),22,IF(ISNUMBER(SEARCH("Monitor",C13)),15,8))))+G13*8+H13*10+I13*8+J13*5-K13*4</f>
        <v/>
      </c>
      <c r="M13" s="3">
        <f>IF(L13&gt;=75,"ALTO",IF(L13&gt;=50,"MEDIO","BAJO"))</f>
        <v/>
      </c>
      <c r="N13" s="3">
        <f>IF(OR(M13="ALTO",AND(M13="MEDIO",I13&gt;=2,H13&gt;=2)),"Sí","No")</f>
        <v/>
      </c>
    </row>
    <row r="14" ht="22" customHeight="1">
      <c r="A14" s="3" t="inlineStr">
        <is>
          <t>NOV-C011</t>
        </is>
      </c>
      <c r="B14" s="3" t="inlineStr">
        <is>
          <t>US8784755</t>
        </is>
      </c>
      <c r="C14" s="3" t="inlineStr">
        <is>
          <t>Monitor técnico</t>
        </is>
      </c>
      <c r="D14" s="3" t="inlineStr">
        <is>
          <t>Tier 3</t>
        </is>
      </c>
      <c r="E14" s="3" t="inlineStr">
        <is>
          <t>No</t>
        </is>
      </c>
      <c r="F14" s="3" t="inlineStr">
        <is>
          <t>Sí</t>
        </is>
      </c>
      <c r="G14" s="3" t="n">
        <v>1</v>
      </c>
      <c r="H14" s="3" t="n">
        <v>3</v>
      </c>
      <c r="I14" s="3" t="n">
        <v>1</v>
      </c>
      <c r="J14" s="3" t="n">
        <v>1</v>
      </c>
      <c r="K14" s="3" t="n">
        <v>0</v>
      </c>
      <c r="L14" s="3">
        <f>IF(C14="Blocking risk + claim chart",35,IF(LEFT(C14,8)="Blocking",30,IF(ISNUMBER(SEARCH("Monitor crítico",C14)),22,IF(ISNUMBER(SEARCH("Monitor",C14)),15,8))))+G14*8+H14*10+I14*8+J14*5-K14*4</f>
        <v/>
      </c>
      <c r="M14" s="3">
        <f>IF(L14&gt;=75,"ALTO",IF(L14&gt;=50,"MEDIO","BAJO"))</f>
        <v/>
      </c>
      <c r="N14" s="3">
        <f>IF(OR(M14="ALTO",AND(M14="MEDIO",I14&gt;=2,H14&gt;=2)),"Sí","No")</f>
        <v/>
      </c>
    </row>
    <row r="15" ht="22" customHeight="1">
      <c r="A15" s="3" t="inlineStr">
        <is>
          <t>NOV-C012</t>
        </is>
      </c>
      <c r="B15" s="3" t="inlineStr">
        <is>
          <t>US20240375972</t>
        </is>
      </c>
      <c r="C15" s="3" t="inlineStr">
        <is>
          <t>Monitor prosecution</t>
        </is>
      </c>
      <c r="D15" s="3" t="inlineStr">
        <is>
          <t>Tier 2</t>
        </is>
      </c>
      <c r="E15" s="3" t="inlineStr">
        <is>
          <t>No</t>
        </is>
      </c>
      <c r="F15" s="3" t="inlineStr">
        <is>
          <t>No</t>
        </is>
      </c>
      <c r="G15" s="3" t="n">
        <v>1</v>
      </c>
      <c r="H15" s="3" t="n">
        <v>2</v>
      </c>
      <c r="I15" s="3" t="n">
        <v>2</v>
      </c>
      <c r="J15" s="3" t="n">
        <v>0</v>
      </c>
      <c r="K15" s="3" t="n">
        <v>1</v>
      </c>
      <c r="L15" s="3">
        <f>IF(C15="Blocking risk + claim chart",35,IF(LEFT(C15,8)="Blocking",30,IF(ISNUMBER(SEARCH("Monitor crítico",C15)),22,IF(ISNUMBER(SEARCH("Monitor",C15)),15,8))))+G15*8+H15*10+I15*8+J15*5-K15*4</f>
        <v/>
      </c>
      <c r="M15" s="3">
        <f>IF(L15&gt;=75,"ALTO",IF(L15&gt;=50,"MEDIO","BAJO"))</f>
        <v/>
      </c>
      <c r="N15" s="3">
        <f>IF(OR(M15="ALTO",AND(M15="MEDIO",I15&gt;=2,H15&gt;=2)),"Sí","No")</f>
        <v/>
      </c>
    </row>
    <row r="16" ht="22" customHeight="1">
      <c r="A16" s="3" t="inlineStr">
        <is>
          <t>NOV-C013</t>
        </is>
      </c>
      <c r="B16" s="3" t="inlineStr">
        <is>
          <t>US6936229</t>
        </is>
      </c>
      <c r="C16" s="3" t="inlineStr">
        <is>
          <t>Prior art arsenal</t>
        </is>
      </c>
      <c r="D16" s="3" t="inlineStr">
        <is>
          <t>Prior art</t>
        </is>
      </c>
      <c r="E16" s="3" t="inlineStr">
        <is>
          <t>No</t>
        </is>
      </c>
      <c r="F16" s="3" t="inlineStr">
        <is>
          <t>No</t>
        </is>
      </c>
      <c r="G16" s="3" t="n">
        <v>1</v>
      </c>
      <c r="H16" s="3" t="n">
        <v>3</v>
      </c>
      <c r="I16" s="3" t="n">
        <v>1</v>
      </c>
      <c r="J16" s="3" t="n">
        <v>3</v>
      </c>
      <c r="K16" s="3" t="n">
        <v>0</v>
      </c>
      <c r="L16" s="3">
        <f>IF(C16="Blocking risk + claim chart",35,IF(LEFT(C16,8)="Blocking",30,IF(ISNUMBER(SEARCH("Monitor crítico",C16)),22,IF(ISNUMBER(SEARCH("Monitor",C16)),15,8))))+G16*8+H16*10+I16*8+J16*5-K16*4</f>
        <v/>
      </c>
      <c r="M16" s="3">
        <f>IF(L16&gt;=75,"ALTO",IF(L16&gt;=50,"MEDIO","BAJO"))</f>
        <v/>
      </c>
      <c r="N16" s="3">
        <f>IF(OR(M16="ALTO",AND(M16="MEDIO",I16&gt;=2,H16&gt;=2)),"Sí","No")</f>
        <v/>
      </c>
    </row>
    <row r="17" ht="22" customHeight="1">
      <c r="A17" s="3" t="inlineStr">
        <is>
          <t>NOV-C014</t>
        </is>
      </c>
      <c r="B17" s="3" t="inlineStr">
        <is>
          <t>CN100408705</t>
        </is>
      </c>
      <c r="C17" s="3" t="inlineStr">
        <is>
          <t>Prior art arsenal</t>
        </is>
      </c>
      <c r="D17" s="3" t="inlineStr">
        <is>
          <t>Prior art</t>
        </is>
      </c>
      <c r="E17" s="3" t="inlineStr">
        <is>
          <t>No</t>
        </is>
      </c>
      <c r="F17" s="3" t="inlineStr">
        <is>
          <t>No</t>
        </is>
      </c>
      <c r="G17" s="3" t="n">
        <v>1</v>
      </c>
      <c r="H17" s="3" t="n">
        <v>2</v>
      </c>
      <c r="I17" s="3" t="n">
        <v>1</v>
      </c>
      <c r="J17" s="3" t="n">
        <v>3</v>
      </c>
      <c r="K17" s="3" t="n">
        <v>0</v>
      </c>
      <c r="L17" s="3">
        <f>IF(C17="Blocking risk + claim chart",35,IF(LEFT(C17,8)="Blocking",30,IF(ISNUMBER(SEARCH("Monitor crítico",C17)),22,IF(ISNUMBER(SEARCH("Monitor",C17)),15,8))))+G17*8+H17*10+I17*8+J17*5-K17*4</f>
        <v/>
      </c>
      <c r="M17" s="3">
        <f>IF(L17&gt;=75,"ALTO",IF(L17&gt;=50,"MEDIO","BAJO"))</f>
        <v/>
      </c>
      <c r="N17" s="3">
        <f>IF(OR(M17="ALTO",AND(M17="MEDIO",I17&gt;=2,H17&gt;=2)),"Sí","No")</f>
        <v/>
      </c>
    </row>
    <row r="18" ht="22" customHeight="1">
      <c r="A18" s="3" t="inlineStr">
        <is>
          <t>NOV-C015</t>
        </is>
      </c>
      <c r="B18" s="3" t="inlineStr">
        <is>
          <t>US4723962</t>
        </is>
      </c>
      <c r="C18" s="3" t="inlineStr">
        <is>
          <t>Prior art arsenal</t>
        </is>
      </c>
      <c r="D18" s="3" t="inlineStr">
        <is>
          <t>Prior art</t>
        </is>
      </c>
      <c r="E18" s="3" t="inlineStr">
        <is>
          <t>No</t>
        </is>
      </c>
      <c r="F18" s="3" t="inlineStr">
        <is>
          <t>No</t>
        </is>
      </c>
      <c r="G18" s="3" t="n">
        <v>1</v>
      </c>
      <c r="H18" s="3" t="n">
        <v>1</v>
      </c>
      <c r="I18" s="3" t="n">
        <v>1</v>
      </c>
      <c r="J18" s="3" t="n">
        <v>3</v>
      </c>
      <c r="K18" s="3" t="n">
        <v>0</v>
      </c>
      <c r="L18" s="3">
        <f>IF(C18="Blocking risk + claim chart",35,IF(LEFT(C18,8)="Blocking",30,IF(ISNUMBER(SEARCH("Monitor crítico",C18)),22,IF(ISNUMBER(SEARCH("Monitor",C18)),15,8))))+G18*8+H18*10+I18*8+J18*5-K18*4</f>
        <v/>
      </c>
      <c r="M18" s="3">
        <f>IF(L18&gt;=75,"ALTO",IF(L18&gt;=50,"MEDIO","BAJO"))</f>
        <v/>
      </c>
      <c r="N18" s="3">
        <f>IF(OR(M18="ALTO",AND(M18="MEDIO",I18&gt;=2,H18&gt;=2)),"Sí","No")</f>
        <v/>
      </c>
    </row>
    <row r="19" ht="22" customHeight="1">
      <c r="A19" s="3" t="inlineStr">
        <is>
          <t>NOV-C016</t>
        </is>
      </c>
      <c r="B19" s="3" t="inlineStr">
        <is>
          <t>US3268289</t>
        </is>
      </c>
      <c r="C19" s="3" t="inlineStr">
        <is>
          <t>Prior art arsenal</t>
        </is>
      </c>
      <c r="D19" s="3" t="inlineStr">
        <is>
          <t>Prior art</t>
        </is>
      </c>
      <c r="E19" s="3" t="inlineStr">
        <is>
          <t>No</t>
        </is>
      </c>
      <c r="F19" s="3" t="inlineStr">
        <is>
          <t>No</t>
        </is>
      </c>
      <c r="G19" s="3" t="n">
        <v>1</v>
      </c>
      <c r="H19" s="3" t="n">
        <v>3</v>
      </c>
      <c r="I19" s="3" t="n">
        <v>1</v>
      </c>
      <c r="J19" s="3" t="n">
        <v>3</v>
      </c>
      <c r="K19" s="3" t="n">
        <v>0</v>
      </c>
      <c r="L19" s="3">
        <f>IF(C19="Blocking risk + claim chart",35,IF(LEFT(C19,8)="Blocking",30,IF(ISNUMBER(SEARCH("Monitor crítico",C19)),22,IF(ISNUMBER(SEARCH("Monitor",C19)),15,8))))+G19*8+H19*10+I19*8+J19*5-K19*4</f>
        <v/>
      </c>
      <c r="M19" s="3">
        <f>IF(L19&gt;=75,"ALTO",IF(L19&gt;=50,"MEDIO","BAJO"))</f>
        <v/>
      </c>
      <c r="N19" s="3">
        <f>IF(OR(M19="ALTO",AND(M19="MEDIO",I19&gt;=2,H19&gt;=2)),"Sí","No")</f>
        <v/>
      </c>
    </row>
    <row r="20" ht="22" customHeight="1">
      <c r="A20" s="3" t="inlineStr">
        <is>
          <t>NOV-C017</t>
        </is>
      </c>
      <c r="B20" s="3" t="inlineStr">
        <is>
          <t>US6547836</t>
        </is>
      </c>
      <c r="C20" s="3" t="inlineStr">
        <is>
          <t>Prior art arsenal</t>
        </is>
      </c>
      <c r="D20" s="3" t="inlineStr">
        <is>
          <t>Prior art</t>
        </is>
      </c>
      <c r="E20" s="3" t="inlineStr">
        <is>
          <t>No</t>
        </is>
      </c>
      <c r="F20" s="3" t="inlineStr">
        <is>
          <t>No</t>
        </is>
      </c>
      <c r="G20" s="3" t="n">
        <v>1</v>
      </c>
      <c r="H20" s="3" t="n">
        <v>3</v>
      </c>
      <c r="I20" s="3" t="n">
        <v>1</v>
      </c>
      <c r="J20" s="3" t="n">
        <v>3</v>
      </c>
      <c r="K20" s="3" t="n">
        <v>0</v>
      </c>
      <c r="L20" s="3">
        <f>IF(C20="Blocking risk + claim chart",35,IF(LEFT(C20,8)="Blocking",30,IF(ISNUMBER(SEARCH("Monitor crítico",C20)),22,IF(ISNUMBER(SEARCH("Monitor",C20)),15,8))))+G20*8+H20*10+I20*8+J20*5-K20*4</f>
        <v/>
      </c>
      <c r="M20" s="3">
        <f>IF(L20&gt;=75,"ALTO",IF(L20&gt;=50,"MEDIO","BAJO"))</f>
        <v/>
      </c>
      <c r="N20" s="3">
        <f>IF(OR(M20="ALTO",AND(M20="MEDIO",I20&gt;=2,H20&gt;=2)),"Sí","No")</f>
        <v/>
      </c>
    </row>
    <row r="21" ht="22" customHeight="1">
      <c r="A21" s="3" t="inlineStr">
        <is>
          <t>NOV-C018</t>
        </is>
      </c>
      <c r="B21" s="3" t="inlineStr">
        <is>
          <t>WO2021092013 / US12268992 / CN115591404</t>
        </is>
      </c>
      <c r="C21" s="3" t="inlineStr">
        <is>
          <t>Monitor crítico / vigilancia amplia</t>
        </is>
      </c>
      <c r="D21" s="3" t="inlineStr">
        <is>
          <t>Tier 2</t>
        </is>
      </c>
      <c r="E21" s="3" t="inlineStr">
        <is>
          <t>No</t>
        </is>
      </c>
      <c r="F21" s="3" t="inlineStr">
        <is>
          <t>Sí</t>
        </is>
      </c>
      <c r="G21" s="3" t="n">
        <v>2</v>
      </c>
      <c r="H21" s="3" t="n">
        <v>2</v>
      </c>
      <c r="I21" s="3" t="n">
        <v>2</v>
      </c>
      <c r="J21" s="3" t="n">
        <v>0</v>
      </c>
      <c r="K21" s="3" t="n">
        <v>1</v>
      </c>
      <c r="L21" s="3">
        <f>IF(C21="Blocking risk + claim chart",35,IF(LEFT(C21,8)="Blocking",30,IF(ISNUMBER(SEARCH("Monitor crítico",C21)),22,IF(ISNUMBER(SEARCH("Monitor",C21)),15,8))))+G21*8+H21*10+I21*8+J21*5-K21*4</f>
        <v/>
      </c>
      <c r="M21" s="3">
        <f>IF(L21&gt;=75,"ALTO",IF(L21&gt;=50,"MEDIO","BAJO"))</f>
        <v/>
      </c>
      <c r="N21" s="3">
        <f>IF(OR(M21="ALTO",AND(M21="MEDIO",I21&gt;=2,H21&gt;=2)),"Sí","No")</f>
        <v/>
      </c>
    </row>
    <row r="22" ht="22" customHeight="1">
      <c r="A22" s="3" t="inlineStr">
        <is>
          <t>NOV-C019</t>
        </is>
      </c>
      <c r="B22" s="3" t="inlineStr">
        <is>
          <t>CN102602966</t>
        </is>
      </c>
      <c r="C22" s="3" t="inlineStr">
        <is>
          <t>Prior art + monitor histórico</t>
        </is>
      </c>
      <c r="D22" s="3" t="inlineStr">
        <is>
          <t>Prior art</t>
        </is>
      </c>
      <c r="E22" s="3" t="inlineStr">
        <is>
          <t>No</t>
        </is>
      </c>
      <c r="F22" s="3" t="inlineStr">
        <is>
          <t>No</t>
        </is>
      </c>
      <c r="G22" s="3" t="n">
        <v>1</v>
      </c>
      <c r="H22" s="3" t="n">
        <v>2</v>
      </c>
      <c r="I22" s="3" t="n">
        <v>1</v>
      </c>
      <c r="J22" s="3" t="n">
        <v>3</v>
      </c>
      <c r="K22" s="3" t="n">
        <v>0</v>
      </c>
      <c r="L22" s="3">
        <f>IF(C22="Blocking risk + claim chart",35,IF(LEFT(C22,8)="Blocking",30,IF(ISNUMBER(SEARCH("Monitor crítico",C22)),22,IF(ISNUMBER(SEARCH("Monitor",C22)),15,8))))+G22*8+H22*10+I22*8+J22*5-K22*4</f>
        <v/>
      </c>
      <c r="M22" s="3">
        <f>IF(L22&gt;=75,"ALTO",IF(L22&gt;=50,"MEDIO","BAJO"))</f>
        <v/>
      </c>
      <c r="N22" s="3">
        <f>IF(OR(M22="ALTO",AND(M22="MEDIO",I22&gt;=2,H22&gt;=2)),"Sí","No")</f>
        <v/>
      </c>
    </row>
    <row r="23" ht="22" customHeight="1">
      <c r="A23" s="3" t="inlineStr">
        <is>
          <t>NOV-C020</t>
        </is>
      </c>
      <c r="B23" s="3" t="inlineStr">
        <is>
          <t>CN114105173</t>
        </is>
      </c>
      <c r="C23" s="3" t="inlineStr">
        <is>
          <t>Monitor crítico / posible Tier 2 alto</t>
        </is>
      </c>
      <c r="D23" s="3" t="inlineStr">
        <is>
          <t>Tier 2</t>
        </is>
      </c>
      <c r="E23" s="3" t="inlineStr">
        <is>
          <t>No</t>
        </is>
      </c>
      <c r="F23" s="3" t="inlineStr">
        <is>
          <t>Sí</t>
        </is>
      </c>
      <c r="G23" s="3" t="n">
        <v>1</v>
      </c>
      <c r="H23" s="3" t="n">
        <v>2</v>
      </c>
      <c r="I23" s="3" t="n">
        <v>2</v>
      </c>
      <c r="J23" s="3" t="n">
        <v>0</v>
      </c>
      <c r="K23" s="3" t="n">
        <v>0</v>
      </c>
      <c r="L23" s="3">
        <f>IF(C23="Blocking risk + claim chart",35,IF(LEFT(C23,8)="Blocking",30,IF(ISNUMBER(SEARCH("Monitor crítico",C23)),22,IF(ISNUMBER(SEARCH("Monitor",C23)),15,8))))+G23*8+H23*10+I23*8+J23*5-K23*4</f>
        <v/>
      </c>
      <c r="M23" s="3">
        <f>IF(L23&gt;=75,"ALTO",IF(L23&gt;=50,"MEDIO","BAJO"))</f>
        <v/>
      </c>
      <c r="N23" s="3">
        <f>IF(OR(M23="ALTO",AND(M23="MEDIO",I23&gt;=2,H23&gt;=2)),"Sí","No")</f>
        <v/>
      </c>
    </row>
    <row r="24" ht="22" customHeight="1">
      <c r="A24" s="3" t="inlineStr">
        <is>
          <t>NOV-C021</t>
        </is>
      </c>
      <c r="B24" s="3" t="inlineStr">
        <is>
          <t>US11235282</t>
        </is>
      </c>
      <c r="C24" s="3" t="inlineStr">
        <is>
          <t>Monitor técnico / adyacente</t>
        </is>
      </c>
      <c r="D24" s="3" t="inlineStr">
        <is>
          <t>Tier 3</t>
        </is>
      </c>
      <c r="E24" s="3" t="inlineStr">
        <is>
          <t>No</t>
        </is>
      </c>
      <c r="F24" s="3" t="inlineStr">
        <is>
          <t>Sí</t>
        </is>
      </c>
      <c r="G24" s="3" t="n">
        <v>1</v>
      </c>
      <c r="H24" s="3" t="n">
        <v>3</v>
      </c>
      <c r="I24" s="3" t="n">
        <v>1</v>
      </c>
      <c r="J24" s="3" t="n">
        <v>0</v>
      </c>
      <c r="K24" s="3" t="n">
        <v>0</v>
      </c>
      <c r="L24" s="3">
        <f>IF(C24="Blocking risk + claim chart",35,IF(LEFT(C24,8)="Blocking",30,IF(ISNUMBER(SEARCH("Monitor crítico",C24)),22,IF(ISNUMBER(SEARCH("Monitor",C24)),15,8))))+G24*8+H24*10+I24*8+J24*5-K24*4</f>
        <v/>
      </c>
      <c r="M24" s="3">
        <f>IF(L24&gt;=75,"ALTO",IF(L24&gt;=50,"MEDIO","BAJO"))</f>
        <v/>
      </c>
      <c r="N24" s="3">
        <f>IF(OR(M24="ALTO",AND(M24="MEDIO",I24&gt;=2,H24&gt;=2)),"Sí","No")</f>
        <v/>
      </c>
    </row>
    <row r="25" ht="22" customHeight="1">
      <c r="A25" s="3" t="inlineStr">
        <is>
          <t>NOV-C022</t>
        </is>
      </c>
      <c r="B25" s="3" t="inlineStr">
        <is>
          <t>US6143260</t>
        </is>
      </c>
      <c r="C25" s="3" t="inlineStr">
        <is>
          <t>Prior art arsenal</t>
        </is>
      </c>
      <c r="D25" s="3" t="inlineStr">
        <is>
          <t>Prior art</t>
        </is>
      </c>
      <c r="E25" s="3" t="inlineStr">
        <is>
          <t>No</t>
        </is>
      </c>
      <c r="F25" s="3" t="inlineStr">
        <is>
          <t>No</t>
        </is>
      </c>
      <c r="G25" s="3" t="n">
        <v>1</v>
      </c>
      <c r="H25" s="3" t="n">
        <v>2</v>
      </c>
      <c r="I25" s="3" t="n">
        <v>1</v>
      </c>
      <c r="J25" s="3" t="n">
        <v>3</v>
      </c>
      <c r="K25" s="3" t="n">
        <v>0</v>
      </c>
      <c r="L25" s="3">
        <f>IF(C25="Blocking risk + claim chart",35,IF(LEFT(C25,8)="Blocking",30,IF(ISNUMBER(SEARCH("Monitor crítico",C25)),22,IF(ISNUMBER(SEARCH("Monitor",C25)),15,8))))+G25*8+H25*10+I25*8+J25*5-K25*4</f>
        <v/>
      </c>
      <c r="M25" s="3">
        <f>IF(L25&gt;=75,"ALTO",IF(L25&gt;=50,"MEDIO","BAJO"))</f>
        <v/>
      </c>
      <c r="N25" s="3">
        <f>IF(OR(M25="ALTO",AND(M25="MEDIO",I25&gt;=2,H25&gt;=2)),"Sí","No")</f>
        <v/>
      </c>
    </row>
    <row r="26" ht="22" customHeight="1">
      <c r="A26" s="3" t="inlineStr">
        <is>
          <t>NOV-C023</t>
        </is>
      </c>
      <c r="B26" s="3" t="inlineStr">
        <is>
          <t>CN108341421 / AR108605</t>
        </is>
      </c>
      <c r="C26" s="3" t="inlineStr">
        <is>
          <t>Monitor crítico / patentability context</t>
        </is>
      </c>
      <c r="D26" s="3" t="inlineStr">
        <is>
          <t>Tier 2</t>
        </is>
      </c>
      <c r="E26" s="3" t="inlineStr">
        <is>
          <t>No</t>
        </is>
      </c>
      <c r="F26" s="3" t="inlineStr">
        <is>
          <t>Sí</t>
        </is>
      </c>
      <c r="G26" s="3" t="n">
        <v>2</v>
      </c>
      <c r="H26" s="3" t="n">
        <v>3</v>
      </c>
      <c r="I26" s="3" t="n">
        <v>2</v>
      </c>
      <c r="J26" s="3" t="n">
        <v>0</v>
      </c>
      <c r="K26" s="3" t="n">
        <v>0</v>
      </c>
      <c r="L26" s="3">
        <f>IF(C26="Blocking risk + claim chart",35,IF(LEFT(C26,8)="Blocking",30,IF(ISNUMBER(SEARCH("Monitor crítico",C26)),22,IF(ISNUMBER(SEARCH("Monitor",C26)),15,8))))+G26*8+H26*10+I26*8+J26*5-K26*4</f>
        <v/>
      </c>
      <c r="M26" s="3">
        <f>IF(L26&gt;=75,"ALTO",IF(L26&gt;=50,"MEDIO","BAJO"))</f>
        <v/>
      </c>
      <c r="N26" s="3">
        <f>IF(OR(M26="ALTO",AND(M26="MEDIO",I26&gt;=2,H26&gt;=2)),"Sí","No")</f>
        <v/>
      </c>
    </row>
    <row r="27" ht="22" customHeight="1">
      <c r="A27" s="3" t="inlineStr">
        <is>
          <t>NOV-C024</t>
        </is>
      </c>
      <c r="B27" s="3" t="inlineStr">
        <is>
          <t>US7449161</t>
        </is>
      </c>
      <c r="C27" s="3" t="inlineStr">
        <is>
          <t>Prior art + contexto estratégico</t>
        </is>
      </c>
      <c r="D27" s="3" t="inlineStr">
        <is>
          <t>Prior art</t>
        </is>
      </c>
      <c r="E27" s="3" t="inlineStr">
        <is>
          <t>No</t>
        </is>
      </c>
      <c r="F27" s="3" t="inlineStr">
        <is>
          <t>No</t>
        </is>
      </c>
      <c r="G27" s="3" t="n">
        <v>1</v>
      </c>
      <c r="H27" s="3" t="n">
        <v>2</v>
      </c>
      <c r="I27" s="3" t="n">
        <v>1</v>
      </c>
      <c r="J27" s="3" t="n">
        <v>3</v>
      </c>
      <c r="K27" s="3" t="n">
        <v>0</v>
      </c>
      <c r="L27" s="3">
        <f>IF(C27="Blocking risk + claim chart",35,IF(LEFT(C27,8)="Blocking",30,IF(ISNUMBER(SEARCH("Monitor crítico",C27)),22,IF(ISNUMBER(SEARCH("Monitor",C27)),15,8))))+G27*8+H27*10+I27*8+J27*5-K27*4</f>
        <v/>
      </c>
      <c r="M27" s="3">
        <f>IF(L27&gt;=75,"ALTO",IF(L27&gt;=50,"MEDIO","BAJO"))</f>
        <v/>
      </c>
      <c r="N27" s="3">
        <f>IF(OR(M27="ALTO",AND(M27="MEDIO",I27&gt;=2,H27&gt;=2)),"Sí","No")</f>
        <v/>
      </c>
    </row>
    <row r="28" ht="22" customHeight="1">
      <c r="A28" s="3" t="inlineStr">
        <is>
          <t>NOV-C025</t>
        </is>
      </c>
      <c r="B28" s="3" t="inlineStr">
        <is>
          <t>US3342548</t>
        </is>
      </c>
      <c r="C28" s="3" t="inlineStr">
        <is>
          <t>Prior art histórico</t>
        </is>
      </c>
      <c r="D28" s="3" t="inlineStr">
        <is>
          <t>Prior art</t>
        </is>
      </c>
      <c r="E28" s="3" t="inlineStr">
        <is>
          <t>No</t>
        </is>
      </c>
      <c r="F28" s="3" t="inlineStr">
        <is>
          <t>No</t>
        </is>
      </c>
      <c r="G28" s="3" t="n">
        <v>1</v>
      </c>
      <c r="H28" s="3" t="n">
        <v>2</v>
      </c>
      <c r="I28" s="3" t="n">
        <v>1</v>
      </c>
      <c r="J28" s="3" t="n">
        <v>3</v>
      </c>
      <c r="K28" s="3" t="n">
        <v>0</v>
      </c>
      <c r="L28" s="3">
        <f>IF(C28="Blocking risk + claim chart",35,IF(LEFT(C28,8)="Blocking",30,IF(ISNUMBER(SEARCH("Monitor crítico",C28)),22,IF(ISNUMBER(SEARCH("Monitor",C28)),15,8))))+G28*8+H28*10+I28*8+J28*5-K28*4</f>
        <v/>
      </c>
      <c r="M28" s="3">
        <f>IF(L28&gt;=75,"ALTO",IF(L28&gt;=50,"MEDIO","BAJO"))</f>
        <v/>
      </c>
      <c r="N28" s="3">
        <f>IF(OR(M28="ALTO",AND(M28="MEDIO",I28&gt;=2,H28&gt;=2)),"Sí","No")</f>
        <v/>
      </c>
    </row>
  </sheetData>
  <autoFilter ref="A3:N20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36" customWidth="1" min="3" max="3"/>
    <col width="22" customWidth="1" min="4" max="4"/>
    <col width="16" customWidth="1" min="5" max="5"/>
    <col width="24" customWidth="1" min="6" max="6"/>
    <col width="24" customWidth="1" min="7" max="7"/>
    <col width="34" customWidth="1" min="8" max="8"/>
    <col width="12" customWidth="1" min="9" max="9"/>
    <col width="28" customWidth="1" min="10" max="10"/>
  </cols>
  <sheetData>
    <row r="1" ht="22" customHeight="1">
      <c r="A1" s="1" t="inlineStr">
        <is>
          <t>InnovaFirst | Trazabilidad Tier 1 ya trabajada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22" customHeight="1"/>
    <row r="3" ht="22" customHeight="1">
      <c r="A3" s="4" t="inlineStr">
        <is>
          <t>Familia</t>
        </is>
      </c>
      <c r="B3" s="4" t="inlineStr">
        <is>
          <t>Workbook origen</t>
        </is>
      </c>
      <c r="C3" s="4" t="inlineStr">
        <is>
          <t>Hoja origen</t>
        </is>
      </c>
      <c r="D3" s="4" t="inlineStr">
        <is>
          <t>Tipo de output</t>
        </is>
      </c>
      <c r="E3" s="4" t="inlineStr">
        <is>
          <t>Estado</t>
        </is>
      </c>
      <c r="F3" s="4" t="inlineStr">
        <is>
          <t>Uso dentro de Fase 2</t>
        </is>
      </c>
      <c r="G3" s="4" t="inlineStr">
        <is>
          <t>Dependencia con Fase 3</t>
        </is>
      </c>
      <c r="H3" s="4" t="inlineStr">
        <is>
          <t>Observación</t>
        </is>
      </c>
      <c r="I3" s="4" t="inlineStr">
        <is>
          <t>Prioridad</t>
        </is>
      </c>
      <c r="J3" s="4" t="inlineStr">
        <is>
          <t>Próximo paso</t>
        </is>
      </c>
    </row>
    <row r="4" ht="22" customHeight="1">
      <c r="A4" s="3" t="inlineStr">
        <is>
          <t>Albemarle / KCl-carnallita</t>
        </is>
      </c>
      <c r="B4" s="3" t="inlineStr">
        <is>
          <t>Innovafirst_ClaimChart_Profundo_Albemarle_US11219863.xlsx</t>
        </is>
      </c>
      <c r="C4" s="3" t="inlineStr">
        <is>
          <t>02_STATUS_ALBEMARLE + 03_CLAIMCHART_ALBEMARLE</t>
        </is>
      </c>
      <c r="D4" s="3" t="inlineStr">
        <is>
          <t>Status + claim chart profundo</t>
        </is>
      </c>
      <c r="E4" s="3" t="inlineStr">
        <is>
          <t>Terminado base</t>
        </is>
      </c>
      <c r="F4" s="3" t="inlineStr">
        <is>
          <t>Alimenta shortlist crítica y FTO inicial</t>
        </is>
      </c>
      <c r="G4" s="3" t="inlineStr">
        <is>
          <t>Sube a FTO jurisdiccional completo</t>
        </is>
      </c>
      <c r="H4" s="3" t="inlineStr">
        <is>
          <t>Falta cierre fino de miembros nacionales y maintenance</t>
        </is>
      </c>
      <c r="I4" s="3" t="inlineStr">
        <is>
          <t>Crítica</t>
        </is>
      </c>
      <c r="J4" s="3" t="inlineStr">
        <is>
          <t>Mantener en shortlist final</t>
        </is>
      </c>
    </row>
    <row r="5" ht="22" customHeight="1">
      <c r="A5" s="3" t="inlineStr">
        <is>
          <t>US11219863 family</t>
        </is>
      </c>
      <c r="B5" s="3" t="inlineStr">
        <is>
          <t>Innovafirst_ClaimChart_Profundo_Albemarle_US11219863.xlsx</t>
        </is>
      </c>
      <c r="C5" s="3" t="inlineStr">
        <is>
          <t>04_STATUS_US11219863 + 05_CLAIMCHART_US11219863</t>
        </is>
      </c>
      <c r="D5" s="3" t="inlineStr">
        <is>
          <t>Status + claim chart profundo</t>
        </is>
      </c>
      <c r="E5" s="3" t="inlineStr">
        <is>
          <t>Terminado base</t>
        </is>
      </c>
      <c r="F5" s="3" t="inlineStr">
        <is>
          <t>Alimenta shortlist crítica y FTO inicial</t>
        </is>
      </c>
      <c r="G5" s="3" t="inlineStr">
        <is>
          <t>Sube a FTO jurisdiccional completo</t>
        </is>
      </c>
      <c r="H5" s="3" t="inlineStr">
        <is>
          <t>Falta corroboración CN oficial si escala a opinión formal</t>
        </is>
      </c>
      <c r="I5" s="3" t="inlineStr">
        <is>
          <t>Crítica</t>
        </is>
      </c>
      <c r="J5" s="3" t="inlineStr">
        <is>
          <t>Mantener en shortlist final</t>
        </is>
      </c>
    </row>
    <row r="6" ht="22" customHeight="1">
      <c r="A6" s="3" t="inlineStr">
        <is>
          <t>US11203542 family</t>
        </is>
      </c>
      <c r="B6" s="3" t="inlineStr">
        <is>
          <t>Innovafirst_ClaimChart_Profundo_Tier1_Complemento.xlsx</t>
        </is>
      </c>
      <c r="C6" s="3" t="inlineStr">
        <is>
          <t>08_STATUS_US11203542 + 09_CLAIMCHART_US11203542</t>
        </is>
      </c>
      <c r="D6" s="3" t="inlineStr">
        <is>
          <t>Status + claim chart profundo</t>
        </is>
      </c>
      <c r="E6" s="3" t="inlineStr">
        <is>
          <t>Terminado base</t>
        </is>
      </c>
      <c r="F6" s="3" t="inlineStr">
        <is>
          <t>Completa eje NF directo/multipaso</t>
        </is>
      </c>
      <c r="G6" s="3" t="inlineStr">
        <is>
          <t>Sube a FTO jurisdiccional completo</t>
        </is>
      </c>
      <c r="H6" s="3" t="inlineStr">
        <is>
          <t>Falta cerrar contraparte CL exacta si existe</t>
        </is>
      </c>
      <c r="I6" s="3" t="inlineStr">
        <is>
          <t>Alta</t>
        </is>
      </c>
      <c r="J6" s="3" t="inlineStr">
        <is>
          <t>Mantener en shortlist final</t>
        </is>
      </c>
    </row>
    <row r="7" ht="22" customHeight="1">
      <c r="A7" s="3" t="inlineStr">
        <is>
          <t>CN103074502 family</t>
        </is>
      </c>
      <c r="B7" s="3" t="inlineStr">
        <is>
          <t>Innovafirst_ClaimChart_Profundo_Tier1_Complemento.xlsx</t>
        </is>
      </c>
      <c r="C7" s="3" t="inlineStr">
        <is>
          <t>10_STATUS_CN103074502 + 11_CLAIMCHART_CN103074502</t>
        </is>
      </c>
      <c r="D7" s="3" t="inlineStr">
        <is>
          <t>Status + claim chart profundo</t>
        </is>
      </c>
      <c r="E7" s="3" t="inlineStr">
        <is>
          <t>Terminado base</t>
        </is>
      </c>
      <c r="F7" s="3" t="inlineStr">
        <is>
          <t>Completa eje evaporación→NF→RO</t>
        </is>
      </c>
      <c r="G7" s="3" t="inlineStr">
        <is>
          <t>Sube a FTO jurisdiccional completo</t>
        </is>
      </c>
      <c r="H7" s="3" t="inlineStr">
        <is>
          <t>Falta verificación CNIPA fina</t>
        </is>
      </c>
      <c r="I7" s="3" t="inlineStr">
        <is>
          <t>Alta</t>
        </is>
      </c>
      <c r="J7" s="3" t="inlineStr">
        <is>
          <t>Mantener en shortlist final</t>
        </is>
      </c>
    </row>
    <row r="8" ht="22" customHeight="1">
      <c r="A8" s="3" t="inlineStr">
        <is>
          <t>Dashboard Tier 1</t>
        </is>
      </c>
      <c r="B8" s="3" t="inlineStr">
        <is>
          <t>Innovafirst_FTO_Dashboard_Tier1.xlsx</t>
        </is>
      </c>
      <c r="C8" s="3" t="inlineStr">
        <is>
          <t>01_DASHBOARD a 04_DECISIONES</t>
        </is>
      </c>
      <c r="D8" s="3" t="inlineStr">
        <is>
          <t>Scorecard y semáforo</t>
        </is>
      </c>
      <c r="E8" s="3" t="inlineStr">
        <is>
          <t>Terminado base</t>
        </is>
      </c>
      <c r="F8" s="3" t="inlineStr">
        <is>
          <t>Sirve como capa de decisión inicial</t>
        </is>
      </c>
      <c r="G8" s="3" t="inlineStr">
        <is>
          <t>Se integrará luego al dashboard multi-jurisdiccional</t>
        </is>
      </c>
      <c r="H8" s="3" t="inlineStr">
        <is>
          <t>No reemplaza la matriz maestra</t>
        </is>
      </c>
      <c r="I8" s="3" t="inlineStr">
        <is>
          <t>Alta</t>
        </is>
      </c>
      <c r="J8" s="3" t="inlineStr">
        <is>
          <t>Usar como resumen, no como base única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28" customWidth="1" min="4" max="4"/>
    <col width="26" customWidth="1" min="5" max="5"/>
    <col width="16" customWidth="1" min="6" max="6"/>
    <col width="20" customWidth="1" min="7" max="7"/>
    <col width="12" customWidth="1" min="8" max="8"/>
    <col width="26" customWidth="1" min="9" max="9"/>
    <col width="12" customWidth="1" min="10" max="10"/>
  </cols>
  <sheetData>
    <row r="1" ht="22" customHeight="1">
      <c r="A1" s="1" t="inlineStr">
        <is>
          <t>InnovaFirst | Pendientes críticos para consolidación final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22" customHeight="1"/>
    <row r="3" ht="22" customHeight="1">
      <c r="A3" s="4" t="inlineStr">
        <is>
          <t>ID</t>
        </is>
      </c>
      <c r="B3" s="4" t="inlineStr">
        <is>
          <t>Familia</t>
        </is>
      </c>
      <c r="C3" s="4" t="inlineStr">
        <is>
          <t>Qué falta</t>
        </is>
      </c>
      <c r="D3" s="4" t="inlineStr">
        <is>
          <t>Por qué importa</t>
        </is>
      </c>
      <c r="E3" s="4" t="inlineStr">
        <is>
          <t>Fuente oficial sugerida</t>
        </is>
      </c>
      <c r="F3" s="4" t="inlineStr">
        <is>
          <t>Impacto</t>
        </is>
      </c>
      <c r="G3" s="4" t="inlineStr">
        <is>
          <t>Responsable sugerido</t>
        </is>
      </c>
      <c r="H3" s="4" t="inlineStr">
        <is>
          <t>Urgencia</t>
        </is>
      </c>
      <c r="I3" s="4" t="inlineStr">
        <is>
          <t>Salida esperada</t>
        </is>
      </c>
      <c r="J3" s="4" t="inlineStr">
        <is>
          <t>Estado</t>
        </is>
      </c>
    </row>
    <row r="4" ht="22" customHeight="1">
      <c r="A4" s="3" t="inlineStr">
        <is>
          <t>P-01</t>
        </is>
      </c>
      <c r="B4" s="3" t="inlineStr">
        <is>
          <t>US9005557 family</t>
        </is>
      </c>
      <c r="C4" s="3" t="inlineStr">
        <is>
          <t>Verificar miembros nacionales visibles CL/AR/CA y estatus local</t>
        </is>
      </c>
      <c r="D4" s="3" t="inlineStr">
        <is>
          <t>Puede alterar exposición territorial real</t>
        </is>
      </c>
      <c r="E4" s="3" t="inlineStr">
        <is>
          <t>USPTO + WIPO + INAPI/países locales</t>
        </is>
      </c>
      <c r="F4" s="3" t="inlineStr">
        <is>
          <t>FTO</t>
        </is>
      </c>
      <c r="G4" s="3" t="inlineStr">
        <is>
          <t>Especialista IP</t>
        </is>
      </c>
      <c r="H4" s="3" t="inlineStr">
        <is>
          <t>Alta</t>
        </is>
      </c>
      <c r="I4" s="3" t="inlineStr">
        <is>
          <t>Tabla de miembros activos por jurisdicción</t>
        </is>
      </c>
      <c r="J4" s="3" t="inlineStr">
        <is>
          <t>Pendiente</t>
        </is>
      </c>
    </row>
    <row r="5" ht="22" customHeight="1">
      <c r="A5" s="3" t="inlineStr">
        <is>
          <t>P-02</t>
        </is>
      </c>
      <c r="B5" s="3" t="inlineStr">
        <is>
          <t>US11219863 family</t>
        </is>
      </c>
      <c r="C5" s="3" t="inlineStr">
        <is>
          <t>Corroborar CN109368670B en fuente oficial CN</t>
        </is>
      </c>
      <c r="D5" s="3" t="inlineStr">
        <is>
          <t>Confianza actual media en miembro CN</t>
        </is>
      </c>
      <c r="E5" s="3" t="inlineStr">
        <is>
          <t>CNIPA / Google Patents como apoyo</t>
        </is>
      </c>
      <c r="F5" s="3" t="inlineStr">
        <is>
          <t>FTO</t>
        </is>
      </c>
      <c r="G5" s="3" t="inlineStr">
        <is>
          <t>Especialista IP CN</t>
        </is>
      </c>
      <c r="H5" s="3" t="inlineStr">
        <is>
          <t>Alta</t>
        </is>
      </c>
      <c r="I5" s="3" t="inlineStr">
        <is>
          <t>Captura/status oficial CN</t>
        </is>
      </c>
      <c r="J5" s="3" t="inlineStr">
        <is>
          <t>Pendiente</t>
        </is>
      </c>
    </row>
    <row r="6" ht="22" customHeight="1">
      <c r="A6" s="3" t="inlineStr">
        <is>
          <t>P-03</t>
        </is>
      </c>
      <c r="B6" s="3" t="inlineStr">
        <is>
          <t>US11203542 family</t>
        </is>
      </c>
      <c r="C6" s="3" t="inlineStr">
        <is>
          <t>Confirmar si existe miembro chileno activo</t>
        </is>
      </c>
      <c r="D6" s="3" t="inlineStr">
        <is>
          <t>CL puede ser jurisdicción comercial sensible</t>
        </is>
      </c>
      <c r="E6" s="3" t="inlineStr">
        <is>
          <t>INAPI + family listing oficial</t>
        </is>
      </c>
      <c r="F6" s="3" t="inlineStr">
        <is>
          <t>FTO comercial</t>
        </is>
      </c>
      <c r="G6" s="3" t="inlineStr">
        <is>
          <t>Especialista IP</t>
        </is>
      </c>
      <c r="H6" s="3" t="inlineStr">
        <is>
          <t>Alta</t>
        </is>
      </c>
      <c r="I6" s="3" t="inlineStr">
        <is>
          <t>Confirmación sí/no de contraparte CL</t>
        </is>
      </c>
      <c r="J6" s="3" t="inlineStr">
        <is>
          <t>Pendiente</t>
        </is>
      </c>
    </row>
    <row r="7" ht="22" customHeight="1">
      <c r="A7" s="3" t="inlineStr">
        <is>
          <t>P-04</t>
        </is>
      </c>
      <c r="B7" s="3" t="inlineStr">
        <is>
          <t>DE102015000872 family</t>
        </is>
      </c>
      <c r="C7" s="3" t="inlineStr">
        <is>
          <t>Cerrar si quedó solo como A1 o derivó en grant/familia adicional</t>
        </is>
      </c>
      <c r="D7" s="3" t="inlineStr">
        <is>
          <t>Evita sobredimensionar un riesgo todavía incierto</t>
        </is>
      </c>
      <c r="E7" s="3" t="inlineStr">
        <is>
          <t>DPMA / EPO / Google Patents</t>
        </is>
      </c>
      <c r="F7" s="3" t="inlineStr">
        <is>
          <t>Screening</t>
        </is>
      </c>
      <c r="G7" s="3" t="inlineStr">
        <is>
          <t>Analista VT/IP</t>
        </is>
      </c>
      <c r="H7" s="3" t="inlineStr">
        <is>
          <t>Media</t>
        </is>
      </c>
      <c r="I7" s="3" t="inlineStr">
        <is>
          <t>Status normalizado final</t>
        </is>
      </c>
      <c r="J7" s="3" t="inlineStr">
        <is>
          <t>Pendiente</t>
        </is>
      </c>
    </row>
    <row r="8" ht="22" customHeight="1">
      <c r="A8" s="3" t="inlineStr">
        <is>
          <t>P-05</t>
        </is>
      </c>
      <c r="B8" s="3" t="inlineStr">
        <is>
          <t>Universo amplio</t>
        </is>
      </c>
      <c r="C8" s="3" t="inlineStr">
        <is>
          <t>Expandir por CPC/IPC, backward y forward citations</t>
        </is>
      </c>
      <c r="D8" s="3" t="inlineStr">
        <is>
          <t>Necesario para demostrar cobertura exhaustiva razonable</t>
        </is>
      </c>
      <c r="E8" s="3" t="inlineStr">
        <is>
          <t>Google Patents / Espacenet / Lens / WIPO</t>
        </is>
      </c>
      <c r="F8" s="3" t="inlineStr">
        <is>
          <t>Estado del arte</t>
        </is>
      </c>
      <c r="G8" s="3" t="inlineStr">
        <is>
          <t>Equipo VT</t>
        </is>
      </c>
      <c r="H8" s="3" t="inlineStr">
        <is>
          <t>Crítica</t>
        </is>
      </c>
      <c r="I8" s="3" t="inlineStr">
        <is>
          <t>Matriz ampliada post-screening</t>
        </is>
      </c>
      <c r="J8" s="3" t="inlineStr">
        <is>
          <t>Pendiente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34" customWidth="1" min="3" max="3"/>
    <col width="28" customWidth="1" min="4" max="4"/>
    <col width="30" customWidth="1" min="5" max="5"/>
    <col width="14" customWidth="1" min="6" max="6"/>
  </cols>
  <sheetData>
    <row r="1" ht="22" customHeight="1">
      <c r="A1" s="1" t="inlineStr">
        <is>
          <t>InnovaFirst | Fuentes consolidadas usadas en esta depuración</t>
        </is>
      </c>
      <c r="B1" s="9" t="n"/>
      <c r="C1" s="9" t="n"/>
      <c r="D1" s="9" t="n"/>
      <c r="E1" s="9" t="n"/>
      <c r="F1" s="10" t="n"/>
    </row>
    <row r="2" ht="22" customHeight="1"/>
    <row r="3" ht="22" customHeight="1">
      <c r="A3" s="4" t="inlineStr">
        <is>
          <t>Fuente</t>
        </is>
      </c>
      <c r="B3" s="4" t="inlineStr">
        <is>
          <t>Tipo</t>
        </is>
      </c>
      <c r="C3" s="4" t="inlineStr">
        <is>
          <t>Qué aportó</t>
        </is>
      </c>
      <c r="D3" s="4" t="inlineStr">
        <is>
          <t>Dónde se absorbió</t>
        </is>
      </c>
      <c r="E3" s="4" t="inlineStr">
        <is>
          <t>Limitación</t>
        </is>
      </c>
      <c r="F3" s="4" t="inlineStr">
        <is>
          <t>Estado de uso</t>
        </is>
      </c>
    </row>
    <row r="4" ht="22" customHeight="1">
      <c r="A4" s="3" t="inlineStr">
        <is>
          <t>Innovafirst_Top10_Familias_Criticas_y_ClaimChart_Tier1.xlsx</t>
        </is>
      </c>
      <c r="B4" s="3" t="inlineStr">
        <is>
          <t>Workbook de screening</t>
        </is>
      </c>
      <c r="C4" s="3" t="inlineStr">
        <is>
          <t>Seed set depurado, Top 10 inicial, estructura maestra</t>
        </is>
      </c>
      <c r="D4" s="3" t="inlineStr">
        <is>
          <t>Matriz consolidada + Screening</t>
        </is>
      </c>
      <c r="E4" s="3" t="inlineStr">
        <is>
          <t>No demuestra exhaustividad amplia por sí solo</t>
        </is>
      </c>
      <c r="F4" s="3" t="inlineStr">
        <is>
          <t>Absorbido</t>
        </is>
      </c>
    </row>
    <row r="5" ht="22" customHeight="1">
      <c r="A5" s="3" t="inlineStr">
        <is>
          <t>Innovafirst_ClaimChart_Profundo_Albemarle_US11219863.xlsx</t>
        </is>
      </c>
      <c r="B5" s="3" t="inlineStr">
        <is>
          <t>Workbook claim chart</t>
        </is>
      </c>
      <c r="C5" s="3" t="inlineStr">
        <is>
          <t>Status y claim chart profundo de 2 familias críticas</t>
        </is>
      </c>
      <c r="D5" s="3" t="inlineStr">
        <is>
          <t>Tier 1 trazabilidad + notas de matriz</t>
        </is>
      </c>
      <c r="E5" s="3" t="inlineStr">
        <is>
          <t>No reemplaza matriz amplia</t>
        </is>
      </c>
      <c r="F5" s="3" t="inlineStr">
        <is>
          <t>Absorbido</t>
        </is>
      </c>
    </row>
    <row r="6" ht="22" customHeight="1">
      <c r="A6" s="3" t="inlineStr">
        <is>
          <t>Innovafirst_ClaimChart_Profundo_Tier1_Complemento.xlsx</t>
        </is>
      </c>
      <c r="B6" s="3" t="inlineStr">
        <is>
          <t>Workbook claim chart</t>
        </is>
      </c>
      <c r="C6" s="3" t="inlineStr">
        <is>
          <t>Status y claim chart profundo de US11203542 y CN103074502</t>
        </is>
      </c>
      <c r="D6" s="3" t="inlineStr">
        <is>
          <t>Tier 1 trazabilidad + notas de matriz</t>
        </is>
      </c>
      <c r="E6" s="3" t="inlineStr">
        <is>
          <t>No reemplaza screening amplio</t>
        </is>
      </c>
      <c r="F6" s="3" t="inlineStr">
        <is>
          <t>Absorbido</t>
        </is>
      </c>
    </row>
    <row r="7" ht="22" customHeight="1">
      <c r="A7" s="3" t="inlineStr">
        <is>
          <t>Innovafirst_FTO_Dashboard_Tier1.xlsx</t>
        </is>
      </c>
      <c r="B7" s="3" t="inlineStr">
        <is>
          <t>Dashboard analítico</t>
        </is>
      </c>
      <c r="C7" s="3" t="inlineStr">
        <is>
          <t>Scorecard y decisión inicial Tier 1</t>
        </is>
      </c>
      <c r="D7" s="3" t="inlineStr">
        <is>
          <t>Screening y Tier 1 trazabilidad</t>
        </is>
      </c>
      <c r="E7" s="3" t="inlineStr">
        <is>
          <t>Resumen ejecutivo, no base maestra</t>
        </is>
      </c>
      <c r="F7" s="3" t="inlineStr">
        <is>
          <t>Absorbido</t>
        </is>
      </c>
    </row>
    <row r="8" ht="22" customHeight="1">
      <c r="A8" s="3" t="inlineStr">
        <is>
          <t>FTO_Novandino_Patents.xlsx</t>
        </is>
      </c>
      <c r="B8" s="3" t="inlineStr">
        <is>
          <t>Seed set consultor</t>
        </is>
      </c>
      <c r="C8" s="3" t="inlineStr">
        <is>
          <t>Listado inicial de familias, arsenal de prior art, hipótesis de riesgo</t>
        </is>
      </c>
      <c r="D8" s="3" t="inlineStr">
        <is>
          <t>Matriz consolidada y prior art</t>
        </is>
      </c>
      <c r="E8" s="3" t="inlineStr">
        <is>
          <t>Cobertura incompleta y mezcla de dato con inferencia</t>
        </is>
      </c>
      <c r="F8" s="3" t="inlineStr">
        <is>
          <t>Absorbido críticamente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22" customWidth="1" min="4" max="4"/>
    <col width="14" customWidth="1" min="5" max="5"/>
    <col width="18" customWidth="1" min="6" max="6"/>
    <col width="30" customWidth="1" min="7" max="7"/>
    <col width="12" customWidth="1" min="8" max="8"/>
  </cols>
  <sheetData>
    <row r="1" ht="22" customHeight="1">
      <c r="A1" s="1" t="inlineStr">
        <is>
          <t>InnovaFirst | Roadmap para cerrar Fase 2</t>
        </is>
      </c>
      <c r="B1" s="9" t="n"/>
      <c r="C1" s="9" t="n"/>
      <c r="D1" s="9" t="n"/>
      <c r="E1" s="9" t="n"/>
      <c r="F1" s="9" t="n"/>
      <c r="G1" s="9" t="n"/>
      <c r="H1" s="10" t="n"/>
    </row>
    <row r="2" ht="22" customHeight="1"/>
    <row r="3" ht="22" customHeight="1">
      <c r="A3" s="4" t="inlineStr">
        <is>
          <t>Paso</t>
        </is>
      </c>
      <c r="B3" s="4" t="inlineStr">
        <is>
          <t>Actividad</t>
        </is>
      </c>
      <c r="C3" s="4" t="inlineStr">
        <is>
          <t>Output</t>
        </is>
      </c>
      <c r="D3" s="4" t="inlineStr">
        <is>
          <t>Dependencia</t>
        </is>
      </c>
      <c r="E3" s="4" t="inlineStr">
        <is>
          <t>Horizonte</t>
        </is>
      </c>
      <c r="F3" s="4" t="inlineStr">
        <is>
          <t>Responsable</t>
        </is>
      </c>
      <c r="G3" s="4" t="inlineStr">
        <is>
          <t>Criterio de cierre</t>
        </is>
      </c>
      <c r="H3" s="4" t="inlineStr">
        <is>
          <t>Estado</t>
        </is>
      </c>
    </row>
    <row r="4" ht="22" customHeight="1">
      <c r="A4" s="3" t="n">
        <v>1</v>
      </c>
      <c r="B4" s="3" t="inlineStr">
        <is>
          <t>Cerrar depuración y normalización final de la matriz</t>
        </is>
      </c>
      <c r="C4" s="3" t="inlineStr">
        <is>
          <t>Matriz Maestra consolidada vFinal</t>
        </is>
      </c>
      <c r="D4" s="3" t="inlineStr">
        <is>
          <t>Este workbook</t>
        </is>
      </c>
      <c r="E4" s="3" t="inlineStr">
        <is>
          <t>Semana 1</t>
        </is>
      </c>
      <c r="F4" s="3" t="inlineStr">
        <is>
          <t>Analista VT/IP</t>
        </is>
      </c>
      <c r="G4" s="3" t="inlineStr">
        <is>
          <t>Sin duplicados relevantes; roles y status normalizados</t>
        </is>
      </c>
      <c r="H4" s="3" t="inlineStr">
        <is>
          <t>En curso</t>
        </is>
      </c>
    </row>
    <row r="5" ht="22" customHeight="1">
      <c r="A5" s="3" t="n">
        <v>2</v>
      </c>
      <c r="B5" s="3" t="inlineStr">
        <is>
          <t>Expandir universo por CPC/IPC, backward y forward citations</t>
        </is>
      </c>
      <c r="C5" s="3" t="inlineStr">
        <is>
          <t>Screening amplio documentado</t>
        </is>
      </c>
      <c r="D5" s="3" t="inlineStr">
        <is>
          <t>Diccionario + matriz base</t>
        </is>
      </c>
      <c r="E5" s="3" t="inlineStr">
        <is>
          <t>Semana 1-2</t>
        </is>
      </c>
      <c r="F5" s="3" t="inlineStr">
        <is>
          <t>Equipo VT</t>
        </is>
      </c>
      <c r="G5" s="3" t="inlineStr">
        <is>
          <t>Cobertura defendible del espacio relevante</t>
        </is>
      </c>
      <c r="H5" s="3" t="inlineStr">
        <is>
          <t>Pendiente</t>
        </is>
      </c>
    </row>
    <row r="6" ht="22" customHeight="1">
      <c r="A6" s="3" t="n">
        <v>3</v>
      </c>
      <c r="B6" s="3" t="inlineStr">
        <is>
          <t>Revisar si entran nuevas familias a shortlist crítica</t>
        </is>
      </c>
      <c r="C6" s="3" t="inlineStr">
        <is>
          <t>Shortlist crítica consolidada post-screening</t>
        </is>
      </c>
      <c r="D6" s="3" t="inlineStr">
        <is>
          <t>Paso 2</t>
        </is>
      </c>
      <c r="E6" s="3" t="inlineStr">
        <is>
          <t>Semana 2</t>
        </is>
      </c>
      <c r="F6" s="3" t="inlineStr">
        <is>
          <t>Líder IP</t>
        </is>
      </c>
      <c r="G6" s="3" t="inlineStr">
        <is>
          <t>Top crítica validado y justificado</t>
        </is>
      </c>
      <c r="H6" s="3" t="inlineStr">
        <is>
          <t>Pendiente</t>
        </is>
      </c>
    </row>
    <row r="7" ht="22" customHeight="1">
      <c r="A7" s="3" t="n">
        <v>4</v>
      </c>
      <c r="B7" s="3" t="inlineStr">
        <is>
          <t>Redactar Informe de Estado del Arte / Vigilancia Global</t>
        </is>
      </c>
      <c r="C7" s="3" t="inlineStr">
        <is>
          <t>Documento Word fase 2</t>
        </is>
      </c>
      <c r="D7" s="3" t="inlineStr">
        <is>
          <t>Pasos 1-3</t>
        </is>
      </c>
      <c r="E7" s="3" t="inlineStr">
        <is>
          <t>Semana 2-3</t>
        </is>
      </c>
      <c r="F7" s="3" t="inlineStr">
        <is>
          <t>Líder VT/IP</t>
        </is>
      </c>
      <c r="G7" s="3" t="inlineStr">
        <is>
          <t>Documento emitido y coherente con matriz</t>
        </is>
      </c>
      <c r="H7" s="3" t="inlineStr">
        <is>
          <t>Pendiente</t>
        </is>
      </c>
    </row>
    <row r="8" ht="22" customHeight="1">
      <c r="A8" s="3" t="n">
        <v>5</v>
      </c>
      <c r="B8" s="3" t="inlineStr">
        <is>
          <t>Preparar traspaso a Fase 3</t>
        </is>
      </c>
      <c r="C8" s="3" t="inlineStr">
        <is>
          <t>Paquete Fase 2 cerrado</t>
        </is>
      </c>
      <c r="D8" s="3" t="inlineStr">
        <is>
          <t>Todos los anteriores</t>
        </is>
      </c>
      <c r="E8" s="3" t="inlineStr">
        <is>
          <t>Semana 3</t>
        </is>
      </c>
      <c r="F8" s="3" t="inlineStr">
        <is>
          <t>PM + Líder IP</t>
        </is>
      </c>
      <c r="G8" s="3" t="inlineStr">
        <is>
          <t>Checklist Fase 2 completado</t>
        </is>
      </c>
      <c r="H8" s="3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>
      <c r="A1" s="1" t="inlineStr">
        <is>
          <t>InnovaFirst | Shortlist crítica consolidada post-screening</t>
        </is>
      </c>
    </row>
    <row r="2"/>
    <row r="3">
      <c r="A3" s="4" t="inlineStr">
        <is>
          <t>ID</t>
        </is>
      </c>
      <c r="B3" s="4" t="inlineStr">
        <is>
          <t>Familia</t>
        </is>
      </c>
      <c r="C3" s="4" t="inlineStr">
        <is>
          <t>Rol</t>
        </is>
      </c>
      <c r="D3" s="4" t="inlineStr">
        <is>
          <t>Tier</t>
        </is>
      </c>
      <c r="E3" s="4" t="inlineStr">
        <is>
          <t>Score</t>
        </is>
      </c>
      <c r="F3" s="4" t="inlineStr">
        <is>
          <t>Semáforo</t>
        </is>
      </c>
      <c r="G3" s="4" t="inlineStr">
        <is>
          <t>Sube a shortlist</t>
        </is>
      </c>
      <c r="H3" s="4" t="inlineStr">
        <is>
          <t>Acción sugerida</t>
        </is>
      </c>
      <c r="I3" s="4" t="inlineStr">
        <is>
          <t>Estado operativo</t>
        </is>
      </c>
      <c r="J3" s="4" t="inlineStr">
        <is>
          <t>URL fuente primaria</t>
        </is>
      </c>
    </row>
    <row r="4">
      <c r="A4" s="3" t="inlineStr">
        <is>
          <t>NOV-C001</t>
        </is>
      </c>
      <c r="B4" s="3" t="inlineStr">
        <is>
          <t>CN105540620 / US9005557 / WO2012099637</t>
        </is>
      </c>
      <c r="C4" s="3" t="inlineStr">
        <is>
          <t>Blocking risk + claim chart</t>
        </is>
      </c>
      <c r="D4" s="3" t="inlineStr">
        <is>
          <t>Tier 1</t>
        </is>
      </c>
      <c r="E4" s="3">
        <f>03_SCREENING!L4</f>
        <v/>
      </c>
      <c r="F4" s="3">
        <f>03_SCREENING!M4</f>
        <v/>
      </c>
      <c r="G4" s="3">
        <f>03_SCREENING!N4</f>
        <v/>
      </c>
      <c r="H4" s="3" t="inlineStr">
        <is>
          <t>Verificar miembros CL/AR/CA y maintenance US; claim chart profundo ya iniciado</t>
        </is>
      </c>
      <c r="I4" s="3" t="inlineStr">
        <is>
          <t>Mantener crítica</t>
        </is>
      </c>
      <c r="J4" s="3" t="inlineStr">
        <is>
          <t>https://patents.google.com/patent/US9005557/en</t>
        </is>
      </c>
    </row>
    <row r="5">
      <c r="A5" s="3" t="inlineStr">
        <is>
          <t>NOV-C002</t>
        </is>
      </c>
      <c r="B5" s="3" t="inlineStr">
        <is>
          <t>US11219863 / CN109368670 / WO2020073611</t>
        </is>
      </c>
      <c r="C5" s="3" t="inlineStr">
        <is>
          <t>Blocking risk + claim chart</t>
        </is>
      </c>
      <c r="D5" s="3" t="inlineStr">
        <is>
          <t>Tier 1</t>
        </is>
      </c>
      <c r="E5" s="3">
        <f>03_SCREENING!L5</f>
        <v/>
      </c>
      <c r="F5" s="3">
        <f>03_SCREENING!M5</f>
        <v/>
      </c>
      <c r="G5" s="3">
        <f>03_SCREENING!N5</f>
        <v/>
      </c>
      <c r="H5" s="3" t="inlineStr">
        <is>
          <t>Corroborar CN oficial; profundizar diferencias de feed vs post-crystallization liquor</t>
        </is>
      </c>
      <c r="I5" s="3" t="inlineStr">
        <is>
          <t>Mantener crítica</t>
        </is>
      </c>
      <c r="J5" s="3" t="inlineStr">
        <is>
          <t>https://patents.google.com/patent/US11219863B2/en</t>
        </is>
      </c>
    </row>
    <row r="6">
      <c r="A6" s="3" t="inlineStr">
        <is>
          <t>NOV-C003</t>
        </is>
      </c>
      <c r="B6" s="3" t="inlineStr">
        <is>
          <t>US11203542 / CN110603339 / WO2018208305</t>
        </is>
      </c>
      <c r="C6" s="3" t="inlineStr">
        <is>
          <t>Blocking risk + claim chart</t>
        </is>
      </c>
      <c r="D6" s="3" t="inlineStr">
        <is>
          <t>Tier 1</t>
        </is>
      </c>
      <c r="E6" s="3">
        <f>03_SCREENING!L6</f>
        <v/>
      </c>
      <c r="F6" s="3">
        <f>03_SCREENING!M6</f>
        <v/>
      </c>
      <c r="G6" s="3">
        <f>03_SCREENING!N6</f>
        <v/>
      </c>
      <c r="H6" s="3" t="inlineStr">
        <is>
          <t>Confirmar contraparte CL si existe activa; cerrar lectura claim-by-claim dependientes críticos</t>
        </is>
      </c>
      <c r="I6" s="3" t="inlineStr">
        <is>
          <t>Mantener crítica</t>
        </is>
      </c>
      <c r="J6" s="3" t="inlineStr">
        <is>
          <t>https://patents.google.com/patent/US11203542B2/en</t>
        </is>
      </c>
    </row>
    <row r="7">
      <c r="A7" s="3" t="inlineStr">
        <is>
          <t>NOV-C004</t>
        </is>
      </c>
      <c r="B7" s="3" t="inlineStr">
        <is>
          <t>CN103074502</t>
        </is>
      </c>
      <c r="C7" s="3" t="inlineStr">
        <is>
          <t>Blocking risk CN + claim chart</t>
        </is>
      </c>
      <c r="D7" s="3" t="inlineStr">
        <is>
          <t>Tier 1</t>
        </is>
      </c>
      <c r="E7" s="3">
        <f>03_SCREENING!L7</f>
        <v/>
      </c>
      <c r="F7" s="3">
        <f>03_SCREENING!M7</f>
        <v/>
      </c>
      <c r="G7" s="3">
        <f>03_SCREENING!N7</f>
        <v/>
      </c>
      <c r="H7" s="3" t="inlineStr">
        <is>
          <t>Validar status CNIPA si se escala a opinión formal; documentar diferenciación carnallita/bischofita</t>
        </is>
      </c>
      <c r="I7" s="3" t="inlineStr">
        <is>
          <t>Mantener crítica</t>
        </is>
      </c>
      <c r="J7" s="3" t="inlineStr">
        <is>
          <t>https://patents.google.com/patent/CN103074502B/en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6" customWidth="1" min="3" max="3"/>
    <col width="28" customWidth="1" min="4" max="4"/>
    <col width="20" customWidth="1" min="5" max="5"/>
    <col width="44" customWidth="1" min="6" max="6"/>
  </cols>
  <sheetData>
    <row r="1">
      <c r="A1" s="1" t="inlineStr">
        <is>
          <t>InnovaFirst | Cobertura y hallazgos del screening amplio</t>
        </is>
      </c>
    </row>
    <row r="2"/>
    <row r="3">
      <c r="A3" s="4" t="inlineStr">
        <is>
          <t>Indicador</t>
        </is>
      </c>
      <c r="B3" s="4" t="inlineStr">
        <is>
          <t>Valor</t>
        </is>
      </c>
      <c r="C3" s="4" t="inlineStr">
        <is>
          <t>Lectura</t>
        </is>
      </c>
      <c r="D3" s="4" t="inlineStr">
        <is>
          <t>Fuente base</t>
        </is>
      </c>
      <c r="E3" s="4" t="inlineStr">
        <is>
          <t>Criterio</t>
        </is>
      </c>
      <c r="F3" s="4" t="inlineStr">
        <is>
          <t>Comentario</t>
        </is>
      </c>
    </row>
    <row r="4">
      <c r="A4" s="3" t="inlineStr">
        <is>
          <t>Total familias/anchors en matriz consolidada</t>
        </is>
      </c>
      <c r="B4" s="3">
        <f>COUNTA('02_MATRIZ_CONSOLIDADA'!A:A)-3</f>
        <v/>
      </c>
      <c r="C4" s="3" t="inlineStr">
        <is>
          <t>Universo de screening trabajado en esta iteración</t>
        </is>
      </c>
      <c r="D4" s="3" t="inlineStr">
        <is>
          <t>02_MATRIZ_CONSOLIDADA</t>
        </is>
      </c>
      <c r="E4" s="3" t="inlineStr">
        <is>
          <t>Cobertura razonable inicial</t>
        </is>
      </c>
      <c r="F4" s="3" t="inlineStr">
        <is>
          <t>No equivale a “todo el universo mundial”, sino al universo defendible levantado con seed set + expansión temática</t>
        </is>
      </c>
    </row>
    <row r="5">
      <c r="A5" s="3" t="inlineStr">
        <is>
          <t>Tier 1 cerradas en claim chart</t>
        </is>
      </c>
      <c r="B5" s="3" t="n">
        <v>4</v>
      </c>
      <c r="C5" s="3" t="inlineStr">
        <is>
          <t>Bloque profundo ya trabajado</t>
        </is>
      </c>
      <c r="D5" s="3" t="inlineStr">
        <is>
          <t>Tier1 workbooks</t>
        </is>
      </c>
      <c r="E5" s="3" t="inlineStr">
        <is>
          <t>Cierre profundo inicial</t>
        </is>
      </c>
      <c r="F5" s="3" t="inlineStr">
        <is>
          <t>Albemarle, US11219863, US11203542 y CN103074502</t>
        </is>
      </c>
    </row>
    <row r="6">
      <c r="A6" s="3" t="inlineStr">
        <is>
          <t>Shortlist post-screening</t>
        </is>
      </c>
      <c r="B6" s="3">
        <f>COUNTIF('08_SHORTLIST_POST_SCREENING'!G:G,"Sí")</f>
        <v/>
      </c>
      <c r="C6" s="3" t="inlineStr">
        <is>
          <t>Familias que siguen a FTO/monitor reforzado</t>
        </is>
      </c>
      <c r="D6" s="3" t="inlineStr">
        <is>
          <t>03_SCREENING + 08_SHORTLIST</t>
        </is>
      </c>
      <c r="E6" s="3" t="inlineStr">
        <is>
          <t>Priorización</t>
        </is>
      </c>
      <c r="F6" s="3" t="inlineStr">
        <is>
          <t>Incluye Tier1 y Tier2 altos</t>
        </is>
      </c>
    </row>
    <row r="7">
      <c r="A7" s="3" t="inlineStr">
        <is>
          <t>Rol blocking risk + claim chart</t>
        </is>
      </c>
      <c r="B7" s="3">
        <f>COUNTIF('03_SCREENING'!C:C,"Blocking risk + claim chart")+COUNTIF('03_SCREENING'!C:C,"Blocking risk CN + claim chart")</f>
        <v/>
      </c>
      <c r="C7" s="3" t="inlineStr">
        <is>
          <t>Exposición inmediata</t>
        </is>
      </c>
      <c r="D7" s="3" t="inlineStr">
        <is>
          <t>03_SCREENING</t>
        </is>
      </c>
      <c r="E7" s="3" t="inlineStr">
        <is>
          <t>Riesgo alto</t>
        </is>
      </c>
      <c r="F7" s="3" t="inlineStr">
        <is>
          <t>Corresponde a familias con análisis claim-by-claim o equivalente</t>
        </is>
      </c>
    </row>
    <row r="8">
      <c r="A8" s="3" t="inlineStr">
        <is>
          <t>Rol prior art</t>
        </is>
      </c>
      <c r="B8" s="3">
        <f>COUNTIF('03_SCREENING'!C:C,"Prior art arsenal")+COUNTIF('03_SCREENING'!C:C,"Prior art + monitor histórico")+COUNTIF('03_SCREENING'!C:C,"Prior art histórico")+COUNTIF('03_SCREENING'!C:C,"Prior art + contexto estratégico")</f>
        <v/>
      </c>
      <c r="C8" s="3" t="inlineStr">
        <is>
          <t>Base para patentabilidad / invalidación</t>
        </is>
      </c>
      <c r="D8" s="3" t="inlineStr">
        <is>
          <t>03_SCREENING</t>
        </is>
      </c>
      <c r="E8" s="3" t="inlineStr">
        <is>
          <t>Apoyo estratégico</t>
        </is>
      </c>
      <c r="F8" s="3" t="inlineStr">
        <is>
          <t>No generan bloqueo vigente, pero sí limitan amplitud de claims de terceros</t>
        </is>
      </c>
    </row>
    <row r="9">
      <c r="A9" s="3" t="inlineStr">
        <is>
          <t>Jurisdicciones con presencia visible</t>
        </is>
      </c>
      <c r="B9" s="3" t="inlineStr">
        <is>
          <t>US / CN / WO / AR / CL / CA / AU / DE</t>
        </is>
      </c>
      <c r="C9" s="3" t="inlineStr">
        <is>
          <t>Huella territorial del corpus consolidado</t>
        </is>
      </c>
      <c r="D9" s="3" t="inlineStr">
        <is>
          <t>02_MATRIZ_CONSOLIDADA</t>
        </is>
      </c>
      <c r="E9" s="3" t="inlineStr">
        <is>
          <t>Presencia visible</t>
        </is>
      </c>
      <c r="F9" s="3" t="inlineStr">
        <is>
          <t>Pendiente consolidar con validación oficial fina por jurisdicción clave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2026-03-25T01:20:16Z</dcterms:created>
  <dcterms:modified xmlns:dcterms="http://purl.org/dc/terms/" xmlns:xsi="http://www.w3.org/2001/XMLSchema-instance" xsi:type="dcterms:W3CDTF">2026-03-25T01:31:34Z</dcterms:modified>
</cp:coreProperties>
</file>