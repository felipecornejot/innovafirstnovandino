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01_RESUMEN" sheetId="2" state="visible" r:id="rId2"/>
    <sheet xmlns:r="http://schemas.openxmlformats.org/officeDocument/2006/relationships" name="02_SEMAFORO_PAIS" sheetId="3" state="visible" r:id="rId3"/>
    <sheet xmlns:r="http://schemas.openxmlformats.org/officeDocument/2006/relationships" name="03_RANKING_FAMILIAS" sheetId="4" state="visible" r:id="rId4"/>
    <sheet xmlns:r="http://schemas.openxmlformats.org/officeDocument/2006/relationships" name="04_ACCIONES_DESIGNAROUND" sheetId="5" state="visible" r:id="rId5"/>
    <sheet xmlns:r="http://schemas.openxmlformats.org/officeDocument/2006/relationships" name="05_FUENTES" sheetId="6" state="visible" r:id="rId6"/>
    <sheet xmlns:r="http://schemas.openxmlformats.org/officeDocument/2006/relationships" name="06_METO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36B7CC"/>
      <sz val="18"/>
    </font>
    <font>
      <name val="Aptos"/>
      <b val="1"/>
      <color rgb="000F2433"/>
      <sz val="12"/>
    </font>
    <font>
      <name val="Aptos"/>
      <color rgb="000F2433"/>
      <sz val="11"/>
    </font>
    <font>
      <name val="Aptos"/>
      <color rgb="00000000"/>
      <sz val="10"/>
    </font>
    <font>
      <name val="Aptos"/>
      <b val="1"/>
      <color rgb="00FFFFFF"/>
      <sz val="11"/>
    </font>
    <font>
      <name val="Aptos"/>
      <b val="1"/>
      <color rgb="00000000"/>
      <sz val="10"/>
    </font>
    <font>
      <name val="Aptos"/>
      <sz val="11"/>
    </font>
    <font>
      <name val="Aptos"/>
      <b val="1"/>
      <color rgb="000F2433"/>
      <sz val="10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AF7FA"/>
      </patternFill>
    </fill>
    <fill>
      <patternFill patternType="solid">
        <fgColor rgb="0036B7CC"/>
      </patternFill>
    </fill>
    <fill>
      <patternFill patternType="solid">
        <fgColor rgb="00F3F5F7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0F2433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D9EEF3"/>
      </patternFill>
    </fill>
    <fill>
      <patternFill patternType="solid">
        <fgColor rgb="00EADCF8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medium">
        <color rgb="0036B7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8" fillId="5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 wrapText="1"/>
    </xf>
    <xf numFmtId="0" fontId="8" fillId="6" borderId="0" applyAlignment="1" pivotButton="0" quotePrefix="0" xfId="0">
      <alignment horizontal="center" wrapText="1"/>
    </xf>
    <xf numFmtId="0" fontId="8" fillId="7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/>
    </xf>
    <xf numFmtId="0" fontId="4" fillId="9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 FTO por jurisdicción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'01_RESUMEN'!B12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'01_RESUMEN'!$A$13:$A$20</f>
            </numRef>
          </cat>
          <val>
            <numRef>
              <f>'01_RESUMEN'!$B$13:$B$20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Jurisdicción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familias por riesgo FTO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'03_RANKING_FAMILIAS'!F5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'03_RANKING_FAMILIAS'!$B$6:$B$10</f>
            </numRef>
          </cat>
          <val>
            <numRef>
              <f>'03_RANKING_FAMILIAS'!$F$6:$F$10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17145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11</row>
      <rowOff>0</rowOff>
    </from>
    <ext cx="30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4</row>
      <rowOff>0</rowOff>
    </from>
    <ext cx="32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 ht="26" customHeight="1">
      <c r="B2" s="1" t="inlineStr">
        <is>
          <t>InnovaFirst | Dashboard FTO consolidado multijurisdicción</t>
        </is>
      </c>
    </row>
    <row r="3">
      <c r="B3" s="2" t="inlineStr">
        <is>
          <t>Proyecto Novandino Litio | Entregable ejecutivo de cierre Fase 3</t>
        </is>
      </c>
    </row>
    <row r="5">
      <c r="B5" s="3" t="inlineStr">
        <is>
          <t>Objetivo: traducir el FTO completo a una pieza decisional ejecutiva, integrando shortlist crítica consolidada, claim charts Tier 1, screening amplio, matriz maestra consolidada y proceso objetivo definido en la Ficha Maestra.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10">
      <c r="B10" s="4" t="inlineStr">
        <is>
          <t>Corte analítico</t>
        </is>
      </c>
      <c r="F10" s="5" t="inlineStr">
        <is>
          <t>2026-03-25</t>
        </is>
      </c>
    </row>
    <row r="12">
      <c r="B12" s="6" t="inlineStr">
        <is>
          <t>Lectura ejecutiva: el riesgo de bloqueo se concentra materialmente en Estados Unidos y China. La exposición técnica más sensible se mantiene en dos ejes: (i) precipitación/remoción de Mg asociada a KCl-carnallita; y (ii) secuencias de enriquecimiento por membranas integradas al flowsheet. Chile requiere verificación registral fina antes de una conclusión formal definitiva. La capa EP/WO funciona principalmente como trazabilidad de familia y no como bloqueo autónomo en este corte.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</sheetData>
  <mergeCells count="6">
    <mergeCell ref="B3:J3"/>
    <mergeCell ref="B12:J16"/>
    <mergeCell ref="F10:J10"/>
    <mergeCell ref="B5:J8"/>
    <mergeCell ref="B10:E10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6" customHeight="1">
      <c r="A1" s="1" t="inlineStr">
        <is>
          <t>Resumen ejecutivo</t>
        </is>
      </c>
    </row>
    <row r="3">
      <c r="B3" s="7" t="inlineStr">
        <is>
          <t>Familias en ranking final</t>
        </is>
      </c>
      <c r="D3" s="8" t="inlineStr">
        <is>
          <t>Familias críticas</t>
        </is>
      </c>
      <c r="F3" s="9" t="inlineStr">
        <is>
          <t>Países con riesgo alto/muy alto</t>
        </is>
      </c>
      <c r="H3" s="10" t="inlineStr">
        <is>
          <t>Acciones críticas inmediatas</t>
        </is>
      </c>
    </row>
    <row r="4">
      <c r="B4" s="11">
        <f>COUNTA('03_RANKING_FAMILIAS'!A6:A16)</f>
        <v/>
      </c>
      <c r="D4" s="11">
        <f>COUNTIF('03_RANKING_FAMILIAS'!D6:D16,"*Crítica*")</f>
        <v/>
      </c>
      <c r="F4" s="11">
        <f>COUNTIF('02_SEMAFORO_PAIS'!D6:D13,"ALTO")+COUNTIF('02_SEMAFORO_PAIS'!D6:D13,"MUY ALTO")</f>
        <v/>
      </c>
      <c r="H4" s="11">
        <f>COUNTIF('04_ACCIONES_DESIGNAROUND'!F6:F15,"Crítica")</f>
        <v/>
      </c>
    </row>
    <row r="5"/>
    <row r="7">
      <c r="A7" s="12" t="inlineStr">
        <is>
          <t>Conclusión ejecutiva: el dashboard consolidado confirma una exposición material en US y CN, con cuatro familias ya tratadas como núcleo duro de FTO y un segundo cinturón de vigilancia que puede afectar tanto seguimiento regulatorio-patentario como estrategia de patentabilidad propia. La prioridad operativa es sostener diseño-around sobre KCl/carnallita y sobre secuencias NF/RO/ED, sin perder de vista prosecution y family extensions en CL/US/CN.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2">
      <c r="A12" s="13" t="inlineStr">
        <is>
          <t>País</t>
        </is>
      </c>
      <c r="B12" s="13" t="inlineStr">
        <is>
          <t>Riesgo numérico</t>
        </is>
      </c>
      <c r="C12" s="13" t="inlineStr">
        <is>
          <t>Semáforo</t>
        </is>
      </c>
    </row>
    <row r="13">
      <c r="A13" s="14" t="inlineStr">
        <is>
          <t>US</t>
        </is>
      </c>
      <c r="B13" s="15" t="n">
        <v>95</v>
      </c>
      <c r="C13" s="15" t="inlineStr">
        <is>
          <t>MUY ALTO</t>
        </is>
      </c>
    </row>
    <row r="14">
      <c r="A14" s="14" t="inlineStr">
        <is>
          <t>CN</t>
        </is>
      </c>
      <c r="B14" s="15" t="n">
        <v>92</v>
      </c>
      <c r="C14" s="15" t="inlineStr">
        <is>
          <t>MUY ALTO</t>
        </is>
      </c>
    </row>
    <row r="15">
      <c r="A15" s="14" t="inlineStr">
        <is>
          <t>CL</t>
        </is>
      </c>
      <c r="B15" s="15" t="n">
        <v>62</v>
      </c>
      <c r="C15" s="15" t="inlineStr">
        <is>
          <t>MEDIO-ALTO</t>
        </is>
      </c>
    </row>
    <row r="16">
      <c r="A16" s="14" t="inlineStr">
        <is>
          <t>AR</t>
        </is>
      </c>
      <c r="B16" s="15" t="n">
        <v>48</v>
      </c>
      <c r="C16" s="15" t="inlineStr">
        <is>
          <t>MEDIO</t>
        </is>
      </c>
    </row>
    <row r="17">
      <c r="A17" s="14" t="inlineStr">
        <is>
          <t>CA</t>
        </is>
      </c>
      <c r="B17" s="15" t="n">
        <v>35</v>
      </c>
      <c r="C17" s="15" t="inlineStr">
        <is>
          <t>BAJO</t>
        </is>
      </c>
    </row>
    <row r="18">
      <c r="A18" s="14" t="inlineStr">
        <is>
          <t>AU</t>
        </is>
      </c>
      <c r="B18" s="15" t="n">
        <v>33</v>
      </c>
      <c r="C18" s="15" t="inlineStr">
        <is>
          <t>BAJO</t>
        </is>
      </c>
    </row>
    <row r="19">
      <c r="A19" s="14" t="inlineStr">
        <is>
          <t>DE</t>
        </is>
      </c>
      <c r="B19" s="15" t="n">
        <v>50</v>
      </c>
      <c r="C19" s="15" t="inlineStr">
        <is>
          <t>MEDIO</t>
        </is>
      </c>
    </row>
    <row r="20">
      <c r="A20" s="14" t="inlineStr">
        <is>
          <t>EP/WO</t>
        </is>
      </c>
      <c r="B20" s="15" t="n">
        <v>25</v>
      </c>
      <c r="C20" s="15" t="inlineStr">
        <is>
          <t>BAJO</t>
        </is>
      </c>
    </row>
  </sheetData>
  <mergeCells count="10">
    <mergeCell ref="F3:G3"/>
    <mergeCell ref="A1:J1"/>
    <mergeCell ref="H3:I3"/>
    <mergeCell ref="F4:G5"/>
    <mergeCell ref="D4:E5"/>
    <mergeCell ref="H4:I5"/>
    <mergeCell ref="B3:C3"/>
    <mergeCell ref="A7:J10"/>
    <mergeCell ref="D3:E3"/>
    <mergeCell ref="B4:C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4" customWidth="1" min="4" max="4"/>
    <col width="36" customWidth="1" min="5" max="5"/>
    <col width="22" customWidth="1" min="6" max="6"/>
    <col width="38" customWidth="1" min="7" max="7"/>
    <col width="16" customWidth="1" min="8" max="8"/>
    <col width="28" customWidth="1" min="9" max="9"/>
  </cols>
  <sheetData>
    <row r="1" ht="26" customHeight="1">
      <c r="A1" s="1" t="inlineStr">
        <is>
          <t>Semáforo final por país / jurisdicción</t>
        </is>
      </c>
    </row>
    <row r="5">
      <c r="A5" s="13" t="inlineStr">
        <is>
          <t>Jurisdicción</t>
        </is>
      </c>
      <c r="B5" s="13" t="inlineStr">
        <is>
          <t>Familias activas / visibles</t>
        </is>
      </c>
      <c r="C5" s="13" t="inlineStr">
        <is>
          <t>Score FTO</t>
        </is>
      </c>
      <c r="D5" s="13" t="inlineStr">
        <is>
          <t>Semáforo</t>
        </is>
      </c>
      <c r="E5" s="13" t="inlineStr">
        <is>
          <t>Familias dominantes</t>
        </is>
      </c>
      <c r="F5" s="13" t="inlineStr">
        <is>
          <t>Factibilidad de design-around</t>
        </is>
      </c>
      <c r="G5" s="13" t="inlineStr">
        <is>
          <t>Acción recomendada</t>
        </is>
      </c>
      <c r="H5" s="13" t="inlineStr">
        <is>
          <t>Nivel de confianza</t>
        </is>
      </c>
      <c r="I5" s="13" t="inlineStr">
        <is>
          <t>Fuente base</t>
        </is>
      </c>
    </row>
    <row r="6">
      <c r="A6" s="14" t="inlineStr">
        <is>
          <t>US</t>
        </is>
      </c>
      <c r="B6" s="16" t="n">
        <v>5</v>
      </c>
      <c r="C6" s="16" t="n">
        <v>95</v>
      </c>
      <c r="D6" s="17" t="inlineStr">
        <is>
          <t>MUY ALTO</t>
        </is>
      </c>
      <c r="E6" s="14" t="inlineStr">
        <is>
          <t>US9005557; US11219863; US11203542; US12268992; US20240262704 (pending)</t>
        </is>
      </c>
      <c r="F6" s="14" t="inlineStr">
        <is>
          <t>Media</t>
        </is>
      </c>
      <c r="G6" s="14" t="inlineStr">
        <is>
          <t>Profundizar design-around KCl y secuencias NF/RO/ED; vigilancia prosecution/maintenance</t>
        </is>
      </c>
      <c r="H6" s="14" t="inlineStr">
        <is>
          <t>Alta</t>
        </is>
      </c>
      <c r="I6" s="14" t="inlineStr">
        <is>
          <t>FTO completo + shortlist + claim charts Tier 1</t>
        </is>
      </c>
    </row>
    <row r="7">
      <c r="A7" s="14" t="inlineStr">
        <is>
          <t>CN</t>
        </is>
      </c>
      <c r="B7" s="16" t="n">
        <v>8</v>
      </c>
      <c r="C7" s="16" t="n">
        <v>92</v>
      </c>
      <c r="D7" s="17" t="inlineStr">
        <is>
          <t>MUY ALTO</t>
        </is>
      </c>
      <c r="E7" s="14" t="inlineStr">
        <is>
          <t>CN109368670; CN110603339; CN103074502; CN114105173; CN114735726; CN105540619; CN103572071; CN115591404</t>
        </is>
      </c>
      <c r="F7" s="14" t="inlineStr">
        <is>
          <t>Media-baja</t>
        </is>
      </c>
      <c r="G7" s="14" t="inlineStr">
        <is>
          <t>Monitoreo intensivo CN; priorizar revisión fina de claims activos y posibles equivalentes</t>
        </is>
      </c>
      <c r="H7" s="14" t="inlineStr">
        <is>
          <t>Alta</t>
        </is>
      </c>
      <c r="I7" s="14" t="inlineStr">
        <is>
          <t>FTO completo + shortlist + claim charts Tier 1</t>
        </is>
      </c>
    </row>
    <row r="8">
      <c r="A8" s="14" t="inlineStr">
        <is>
          <t>CL</t>
        </is>
      </c>
      <c r="B8" s="16" t="n">
        <v>2</v>
      </c>
      <c r="C8" s="16" t="n">
        <v>62</v>
      </c>
      <c r="D8" s="18" t="inlineStr">
        <is>
          <t>MEDIO-ALTO</t>
        </is>
      </c>
      <c r="E8" s="14" t="inlineStr">
        <is>
          <t>Contraparte local reportada en family listing de US11203542 y US20240262704/WO2023159899 (a verificar)</t>
        </is>
      </c>
      <c r="F8" s="14" t="inlineStr">
        <is>
          <t>Media</t>
        </is>
      </c>
      <c r="G8" s="14" t="inlineStr">
        <is>
          <t>Verificar registros nacionales exactos y estado local antes de cualquier conclusión formal</t>
        </is>
      </c>
      <c r="H8" s="14" t="inlineStr">
        <is>
          <t>Media</t>
        </is>
      </c>
      <c r="I8" s="14" t="inlineStr">
        <is>
          <t>FTO completo + shortlist + claim charts Tier 1</t>
        </is>
      </c>
    </row>
    <row r="9">
      <c r="A9" s="14" t="inlineStr">
        <is>
          <t>AR</t>
        </is>
      </c>
      <c r="B9" s="16" t="n">
        <v>1</v>
      </c>
      <c r="C9" s="16" t="n">
        <v>48</v>
      </c>
      <c r="D9" s="19" t="inlineStr">
        <is>
          <t>MEDIO</t>
        </is>
      </c>
      <c r="E9" s="14" t="inlineStr">
        <is>
          <t>Familias adyacentes reportadas en corpus consolidado</t>
        </is>
      </c>
      <c r="F9" s="14" t="inlineStr">
        <is>
          <t>Alta</t>
        </is>
      </c>
      <c r="G9" s="14" t="inlineStr">
        <is>
          <t>Monitoreo focal; hoy sin indicio de bloqueo equivalente a US/CN</t>
        </is>
      </c>
      <c r="H9" s="14" t="inlineStr">
        <is>
          <t>Media</t>
        </is>
      </c>
      <c r="I9" s="14" t="inlineStr">
        <is>
          <t>FTO completo + shortlist + claim charts Tier 1</t>
        </is>
      </c>
    </row>
    <row r="10">
      <c r="A10" s="14" t="inlineStr">
        <is>
          <t>CA</t>
        </is>
      </c>
      <c r="B10" s="16" t="n">
        <v>1</v>
      </c>
      <c r="C10" s="16" t="n">
        <v>35</v>
      </c>
      <c r="D10" s="20" t="inlineStr">
        <is>
          <t>BAJO</t>
        </is>
      </c>
      <c r="E10" s="14" t="inlineStr">
        <is>
          <t>Cobertura visible de family extensions en corpus</t>
        </is>
      </c>
      <c r="F10" s="14" t="inlineStr">
        <is>
          <t>Alta</t>
        </is>
      </c>
      <c r="G10" s="14" t="inlineStr">
        <is>
          <t>Monitoreo de family extensions; sin prioridad inmediata</t>
        </is>
      </c>
      <c r="H10" s="14" t="inlineStr">
        <is>
          <t>Media</t>
        </is>
      </c>
      <c r="I10" s="14" t="inlineStr">
        <is>
          <t>FTO completo + shortlist + claim charts Tier 1</t>
        </is>
      </c>
    </row>
    <row r="11">
      <c r="A11" s="14" t="inlineStr">
        <is>
          <t>AU</t>
        </is>
      </c>
      <c r="B11" s="16" t="n">
        <v>1</v>
      </c>
      <c r="C11" s="16" t="n">
        <v>33</v>
      </c>
      <c r="D11" s="20" t="inlineStr">
        <is>
          <t>BAJO</t>
        </is>
      </c>
      <c r="E11" s="14" t="inlineStr">
        <is>
          <t>Cobertura visible de family extensions en corpus</t>
        </is>
      </c>
      <c r="F11" s="14" t="inlineStr">
        <is>
          <t>Alta</t>
        </is>
      </c>
      <c r="G11" s="14" t="inlineStr">
        <is>
          <t>Monitoreo de extensiones si cambia estrategia territorial</t>
        </is>
      </c>
      <c r="H11" s="14" t="inlineStr">
        <is>
          <t>Media</t>
        </is>
      </c>
      <c r="I11" s="14" t="inlineStr">
        <is>
          <t>FTO completo + shortlist + claim charts Tier 1</t>
        </is>
      </c>
    </row>
    <row r="12">
      <c r="A12" s="14" t="inlineStr">
        <is>
          <t>DE</t>
        </is>
      </c>
      <c r="B12" s="16" t="n">
        <v>1</v>
      </c>
      <c r="C12" s="16" t="n">
        <v>50</v>
      </c>
      <c r="D12" s="19" t="inlineStr">
        <is>
          <t>MEDIO</t>
        </is>
      </c>
      <c r="E12" s="14" t="inlineStr">
        <is>
          <t>DE102015000872</t>
        </is>
      </c>
      <c r="F12" s="14" t="inlineStr">
        <is>
          <t>Alta</t>
        </is>
      </c>
      <c r="G12" s="14" t="inlineStr">
        <is>
          <t>Verificar status y relevancia efectiva; hoy funciona más como monitor contrastivo</t>
        </is>
      </c>
      <c r="H12" s="14" t="inlineStr">
        <is>
          <t>Media</t>
        </is>
      </c>
      <c r="I12" s="14" t="inlineStr">
        <is>
          <t>FTO completo + shortlist + claim charts Tier 1</t>
        </is>
      </c>
    </row>
    <row r="13">
      <c r="A13" s="14" t="inlineStr">
        <is>
          <t>EP/WO</t>
        </is>
      </c>
      <c r="B13" s="16" t="n">
        <v>2</v>
      </c>
      <c r="C13" s="16" t="n">
        <v>25</v>
      </c>
      <c r="D13" s="20" t="inlineStr">
        <is>
          <t>BAJO</t>
        </is>
      </c>
      <c r="E13" s="14" t="inlineStr">
        <is>
          <t>EP2487136 withdrawn; PCT ceased/publicación de soporte</t>
        </is>
      </c>
      <c r="F13" s="14" t="inlineStr">
        <is>
          <t>Alta</t>
        </is>
      </c>
      <c r="G13" s="14" t="inlineStr">
        <is>
          <t>Usar como trazabilidad genealógica, no como bloqueo autónomo</t>
        </is>
      </c>
      <c r="H13" s="14" t="inlineStr">
        <is>
          <t>Media</t>
        </is>
      </c>
      <c r="I13" s="14" t="inlineStr">
        <is>
          <t>FTO completo + shortlist + claim charts Tier 1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14" customWidth="1" min="5" max="5"/>
    <col width="10" customWidth="1" min="6" max="6"/>
    <col width="18" customWidth="1" min="7" max="7"/>
    <col width="10" customWidth="1" min="8" max="8"/>
    <col width="18" customWidth="1" min="9" max="9"/>
    <col width="10" customWidth="1" min="10" max="10"/>
    <col width="14" customWidth="1" min="11" max="11"/>
    <col width="36" customWidth="1" min="12" max="12"/>
    <col width="28" customWidth="1" min="13" max="13"/>
  </cols>
  <sheetData>
    <row r="1" ht="26" customHeight="1">
      <c r="A1" s="1" t="inlineStr">
        <is>
          <t>Ranking final de familias activas / priorizadas</t>
        </is>
      </c>
    </row>
    <row r="5">
      <c r="A5" s="13" t="inlineStr">
        <is>
          <t>ID</t>
        </is>
      </c>
      <c r="B5" s="13" t="inlineStr">
        <is>
          <t>Familia</t>
        </is>
      </c>
      <c r="C5" s="13" t="inlineStr">
        <is>
          <t>Jurisdicciones visibles</t>
        </is>
      </c>
      <c r="D5" s="13" t="inlineStr">
        <is>
          <t>Rol final</t>
        </is>
      </c>
      <c r="E5" s="13" t="inlineStr">
        <is>
          <t>Riesgo FTO final</t>
        </is>
      </c>
      <c r="F5" s="13" t="inlineStr">
        <is>
          <t>Score FTO</t>
        </is>
      </c>
      <c r="G5" s="13" t="inlineStr">
        <is>
          <t>Valor p/ patentabilidad</t>
        </is>
      </c>
      <c r="H5" s="13" t="inlineStr">
        <is>
          <t>Score patentabilidad</t>
        </is>
      </c>
      <c r="I5" s="13" t="inlineStr">
        <is>
          <t>Prioridad de seguimiento</t>
        </is>
      </c>
      <c r="J5" s="13" t="inlineStr">
        <is>
          <t>Score seguimiento</t>
        </is>
      </c>
      <c r="K5" s="13" t="inlineStr">
        <is>
          <t>Design-around</t>
        </is>
      </c>
      <c r="L5" s="13" t="inlineStr">
        <is>
          <t>Acción recomendada</t>
        </is>
      </c>
      <c r="M5" s="13" t="inlineStr">
        <is>
          <t>Fuente primaria</t>
        </is>
      </c>
    </row>
    <row r="6">
      <c r="A6" s="14" t="inlineStr">
        <is>
          <t>NOV-C001</t>
        </is>
      </c>
      <c r="B6" s="14" t="inlineStr">
        <is>
          <t>CN105540620 / US9005557 / WO2012099637</t>
        </is>
      </c>
      <c r="C6" s="14" t="inlineStr">
        <is>
          <t>US / WO / EP (family context)</t>
        </is>
      </c>
      <c r="D6" s="14" t="inlineStr">
        <is>
          <t>Crítica – blocking risk</t>
        </is>
      </c>
      <c r="E6" s="17" t="inlineStr">
        <is>
          <t>Muy alto</t>
        </is>
      </c>
      <c r="F6" s="16" t="n">
        <v>95</v>
      </c>
      <c r="G6" s="21" t="inlineStr">
        <is>
          <t>Medio</t>
        </is>
      </c>
      <c r="H6" s="16" t="n">
        <v>55</v>
      </c>
      <c r="I6" s="18" t="inlineStr">
        <is>
          <t>Crítica</t>
        </is>
      </c>
      <c r="J6" s="16" t="n">
        <v>95</v>
      </c>
      <c r="K6" s="14" t="inlineStr">
        <is>
          <t>Media</t>
        </is>
      </c>
      <c r="L6" s="14" t="inlineStr">
        <is>
          <t>Mantener vigilancia US; profundizar memo design-around KCl/carnallita; verificar miembros nacionales reportados</t>
        </is>
      </c>
      <c r="M6" s="14" t="inlineStr">
        <is>
          <t>https://patents.google.com/patent/US9005557/en</t>
        </is>
      </c>
    </row>
    <row r="7">
      <c r="A7" s="14" t="inlineStr">
        <is>
          <t>NOV-C002</t>
        </is>
      </c>
      <c r="B7" s="14" t="inlineStr">
        <is>
          <t>US11219863 / CN109368670 / WO2020073611</t>
        </is>
      </c>
      <c r="C7" s="14" t="inlineStr">
        <is>
          <t>US / CN / WO</t>
        </is>
      </c>
      <c r="D7" s="14" t="inlineStr">
        <is>
          <t>Crítica – blocking risk</t>
        </is>
      </c>
      <c r="E7" s="17" t="inlineStr">
        <is>
          <t>Muy alto</t>
        </is>
      </c>
      <c r="F7" s="16" t="n">
        <v>92</v>
      </c>
      <c r="G7" s="22" t="inlineStr">
        <is>
          <t>Medio-alto</t>
        </is>
      </c>
      <c r="H7" s="16" t="n">
        <v>70</v>
      </c>
      <c r="I7" s="18" t="inlineStr">
        <is>
          <t>Crítica</t>
        </is>
      </c>
      <c r="J7" s="16" t="n">
        <v>92</v>
      </c>
      <c r="K7" s="14" t="inlineStr">
        <is>
          <t>Media-baja</t>
        </is>
      </c>
      <c r="L7" s="14" t="inlineStr">
        <is>
          <t>Profundizar diferencias de feed y arquitectura NF/RO/ED; revisar claims dependientes US/CN</t>
        </is>
      </c>
      <c r="M7" s="14" t="inlineStr">
        <is>
          <t>https://patents.google.com/patent/US11219863B2/en</t>
        </is>
      </c>
    </row>
    <row r="8">
      <c r="A8" s="14" t="inlineStr">
        <is>
          <t>NOV-C003</t>
        </is>
      </c>
      <c r="B8" s="14" t="inlineStr">
        <is>
          <t>US11203542 / CN110603339 / WO2018208305</t>
        </is>
      </c>
      <c r="C8" s="14" t="inlineStr">
        <is>
          <t>US / CN / WO / CL (family listing a verificar)</t>
        </is>
      </c>
      <c r="D8" s="14" t="inlineStr">
        <is>
          <t>Crítica – blocking risk</t>
        </is>
      </c>
      <c r="E8" s="17" t="inlineStr">
        <is>
          <t>Alto</t>
        </is>
      </c>
      <c r="F8" s="16" t="n">
        <v>84</v>
      </c>
      <c r="G8" s="21" t="inlineStr">
        <is>
          <t>Medio</t>
        </is>
      </c>
      <c r="H8" s="16" t="n">
        <v>60</v>
      </c>
      <c r="I8" s="18" t="inlineStr">
        <is>
          <t>Alta</t>
        </is>
      </c>
      <c r="J8" s="16" t="n">
        <v>84</v>
      </c>
      <c r="K8" s="14" t="inlineStr">
        <is>
          <t>Media</t>
        </is>
      </c>
      <c r="L8" s="14" t="inlineStr">
        <is>
          <t>Verificar contraparte local y dependientes críticos; diferenciar uso/no uso de sulfato y doble NF</t>
        </is>
      </c>
      <c r="M8" s="14" t="inlineStr">
        <is>
          <t>https://patents.google.com/patent/US11203542B2/en</t>
        </is>
      </c>
    </row>
    <row r="9">
      <c r="A9" s="14" t="inlineStr">
        <is>
          <t>NOV-C004</t>
        </is>
      </c>
      <c r="B9" s="14" t="inlineStr">
        <is>
          <t>CN103074502</t>
        </is>
      </c>
      <c r="C9" s="14" t="inlineStr">
        <is>
          <t>CN</t>
        </is>
      </c>
      <c r="D9" s="14" t="inlineStr">
        <is>
          <t>Crítica – blocking risk</t>
        </is>
      </c>
      <c r="E9" s="17" t="inlineStr">
        <is>
          <t>Alto</t>
        </is>
      </c>
      <c r="F9" s="16" t="n">
        <v>80</v>
      </c>
      <c r="G9" s="21" t="inlineStr">
        <is>
          <t>Medio</t>
        </is>
      </c>
      <c r="H9" s="16" t="n">
        <v>58</v>
      </c>
      <c r="I9" s="18" t="inlineStr">
        <is>
          <t>Alta</t>
        </is>
      </c>
      <c r="J9" s="16" t="n">
        <v>80</v>
      </c>
      <c r="K9" s="14" t="inlineStr">
        <is>
          <t>Media-baja</t>
        </is>
      </c>
      <c r="L9" s="14" t="inlineStr">
        <is>
          <t>Monitorear CN; documentar diferenciación de evaporación-NF-RO y reciclaje de agua</t>
        </is>
      </c>
      <c r="M9" s="14" t="inlineStr">
        <is>
          <t>https://patents.google.com/patent/CN103074502B/en</t>
        </is>
      </c>
    </row>
    <row r="10">
      <c r="A10" s="14" t="inlineStr">
        <is>
          <t>NOV-C020</t>
        </is>
      </c>
      <c r="B10" s="14" t="inlineStr">
        <is>
          <t>CN114105173</t>
        </is>
      </c>
      <c r="C10" s="14" t="inlineStr">
        <is>
          <t>CN</t>
        </is>
      </c>
      <c r="D10" s="14" t="inlineStr">
        <is>
          <t>Monitor crítico / posible Tier 2 alto</t>
        </is>
      </c>
      <c r="E10" s="18" t="inlineStr">
        <is>
          <t>Medio-alto</t>
        </is>
      </c>
      <c r="F10" s="16" t="n">
        <v>68</v>
      </c>
      <c r="G10" s="22" t="inlineStr">
        <is>
          <t>Medio-alto</t>
        </is>
      </c>
      <c r="H10" s="16" t="n">
        <v>68</v>
      </c>
      <c r="I10" s="18" t="inlineStr">
        <is>
          <t>Alta</t>
        </is>
      </c>
      <c r="J10" s="16" t="n">
        <v>72</v>
      </c>
      <c r="K10" s="14" t="inlineStr">
        <is>
          <t>Media</t>
        </is>
      </c>
      <c r="L10" s="14" t="inlineStr">
        <is>
          <t>Vigilar alcance integrado NF/RO/ED y recuperación multi-soluto</t>
        </is>
      </c>
      <c r="M10" s="14" t="inlineStr">
        <is>
          <t>https://patents.google.com/patent/CN114105173B/en</t>
        </is>
      </c>
    </row>
    <row r="11">
      <c r="A11" s="14" t="inlineStr">
        <is>
          <t>NOV-C018</t>
        </is>
      </c>
      <c r="B11" s="14" t="inlineStr">
        <is>
          <t>WO2021092013 / US12268992 / CN115591404</t>
        </is>
      </c>
      <c r="C11" s="14" t="inlineStr">
        <is>
          <t>US / CN / WO</t>
        </is>
      </c>
      <c r="D11" s="14" t="inlineStr">
        <is>
          <t>Monitor crítico / vigilancia amplia</t>
        </is>
      </c>
      <c r="E11" s="18" t="inlineStr">
        <is>
          <t>Medio-alto</t>
        </is>
      </c>
      <c r="F11" s="16" t="n">
        <v>66</v>
      </c>
      <c r="G11" s="21" t="inlineStr">
        <is>
          <t>Medio</t>
        </is>
      </c>
      <c r="H11" s="16" t="n">
        <v>63</v>
      </c>
      <c r="I11" s="18" t="inlineStr">
        <is>
          <t>Alta</t>
        </is>
      </c>
      <c r="J11" s="16" t="n">
        <v>70</v>
      </c>
      <c r="K11" s="14" t="inlineStr">
        <is>
          <t>Media</t>
        </is>
      </c>
      <c r="L11" s="14" t="inlineStr">
        <is>
          <t>Monitorear prosecución y claims de NF+FO en salar brines; contrastar con arquitectura Novandino</t>
        </is>
      </c>
      <c r="M11" s="14" t="inlineStr">
        <is>
          <t>https://patents.google.com/patent/US12268992/en</t>
        </is>
      </c>
    </row>
    <row r="12">
      <c r="A12" s="14" t="inlineStr">
        <is>
          <t>NOV-C009</t>
        </is>
      </c>
      <c r="B12" s="14" t="inlineStr">
        <is>
          <t>CN114735726 / WO2023159899 / US20240262704</t>
        </is>
      </c>
      <c r="C12" s="14" t="inlineStr">
        <is>
          <t>CN / WO / US / CL (family context)</t>
        </is>
      </c>
      <c r="D12" s="14" t="inlineStr">
        <is>
          <t>Monitor crítico / prosecution</t>
        </is>
      </c>
      <c r="E12" s="19" t="inlineStr">
        <is>
          <t>Medio</t>
        </is>
      </c>
      <c r="F12" s="16" t="n">
        <v>58</v>
      </c>
      <c r="G12" s="22" t="inlineStr">
        <is>
          <t>Medio-alto</t>
        </is>
      </c>
      <c r="H12" s="16" t="n">
        <v>65</v>
      </c>
      <c r="I12" s="19" t="inlineStr">
        <is>
          <t>Media-alta</t>
        </is>
      </c>
      <c r="J12" s="16" t="n">
        <v>66</v>
      </c>
      <c r="K12" s="14" t="inlineStr">
        <is>
          <t>Alta</t>
        </is>
      </c>
      <c r="L12" s="14" t="inlineStr">
        <is>
          <t>Seguir prosecution US/CN y actividad territorial; útil para patentabilidad y vigilancia</t>
        </is>
      </c>
      <c r="M12" s="14" t="inlineStr">
        <is>
          <t>https://patents.google.com/patent/CN114735726B/en</t>
        </is>
      </c>
    </row>
    <row r="13">
      <c r="A13" s="14" t="inlineStr">
        <is>
          <t>NOV-C008</t>
        </is>
      </c>
      <c r="B13" s="14" t="inlineStr">
        <is>
          <t>CN105540619</t>
        </is>
      </c>
      <c r="C13" s="14" t="inlineStr">
        <is>
          <t>CN</t>
        </is>
      </c>
      <c r="D13" s="14" t="inlineStr">
        <is>
          <t>Monitor</t>
        </is>
      </c>
      <c r="E13" s="19" t="inlineStr">
        <is>
          <t>Medio</t>
        </is>
      </c>
      <c r="F13" s="16" t="n">
        <v>55</v>
      </c>
      <c r="G13" s="21" t="inlineStr">
        <is>
          <t>Medio</t>
        </is>
      </c>
      <c r="H13" s="16" t="n">
        <v>54</v>
      </c>
      <c r="I13" s="19" t="inlineStr">
        <is>
          <t>Media</t>
        </is>
      </c>
      <c r="J13" s="16" t="n">
        <v>55</v>
      </c>
      <c r="K13" s="14" t="inlineStr">
        <is>
          <t>Media</t>
        </is>
      </c>
      <c r="L13" s="14" t="inlineStr">
        <is>
          <t>Mantener como benchmark de ruta integrada hacia Li2CO3 desde alto Mg/Li</t>
        </is>
      </c>
      <c r="M13" s="14" t="inlineStr">
        <is>
          <t>https://patents.google.com/patent/CN105540619B/en</t>
        </is>
      </c>
    </row>
    <row r="14">
      <c r="A14" s="14" t="inlineStr">
        <is>
          <t>NOV-C006</t>
        </is>
      </c>
      <c r="B14" s="14" t="inlineStr">
        <is>
          <t>DE102015000872</t>
        </is>
      </c>
      <c r="C14" s="14" t="inlineStr">
        <is>
          <t>DE</t>
        </is>
      </c>
      <c r="D14" s="14" t="inlineStr">
        <is>
          <t>Monitor + verify status</t>
        </is>
      </c>
      <c r="E14" s="19" t="inlineStr">
        <is>
          <t>Medio</t>
        </is>
      </c>
      <c r="F14" s="16" t="n">
        <v>50</v>
      </c>
      <c r="G14" s="21" t="inlineStr">
        <is>
          <t>Medio</t>
        </is>
      </c>
      <c r="H14" s="16" t="n">
        <v>50</v>
      </c>
      <c r="I14" s="19" t="inlineStr">
        <is>
          <t>Media</t>
        </is>
      </c>
      <c r="J14" s="16" t="n">
        <v>52</v>
      </c>
      <c r="K14" s="14" t="inlineStr">
        <is>
          <t>Alta</t>
        </is>
      </c>
      <c r="L14" s="14" t="inlineStr">
        <is>
          <t>Verificar vigencia real y familia equivalente; usar como contraste de sales mixtas / LiCl</t>
        </is>
      </c>
      <c r="M14" s="14" t="inlineStr">
        <is>
          <t>https://patents.google.com/patent/DE102015000872A1/en</t>
        </is>
      </c>
    </row>
    <row r="15">
      <c r="A15" s="14" t="inlineStr">
        <is>
          <t>NOV-C005</t>
        </is>
      </c>
      <c r="B15" s="14" t="inlineStr">
        <is>
          <t>CN103572071</t>
        </is>
      </c>
      <c r="C15" s="14" t="inlineStr">
        <is>
          <t>CN</t>
        </is>
      </c>
      <c r="D15" s="14" t="inlineStr">
        <is>
          <t>Monitor periférico</t>
        </is>
      </c>
      <c r="E15" s="20" t="inlineStr">
        <is>
          <t>Bajo-medio</t>
        </is>
      </c>
      <c r="F15" s="16" t="n">
        <v>42</v>
      </c>
      <c r="G15" s="6" t="inlineStr">
        <is>
          <t>Bajo-medio</t>
        </is>
      </c>
      <c r="H15" s="16" t="n">
        <v>45</v>
      </c>
      <c r="I15" s="20" t="inlineStr">
        <is>
          <t>Media-baja</t>
        </is>
      </c>
      <c r="J15" s="16" t="n">
        <v>46</v>
      </c>
      <c r="K15" s="14" t="inlineStr">
        <is>
          <t>Alta</t>
        </is>
      </c>
      <c r="L15" s="14" t="inlineStr">
        <is>
          <t>Mantener en observación; baja prioridad salvo si el proceso converge a su ventana específica</t>
        </is>
      </c>
      <c r="M15" s="14" t="inlineStr">
        <is>
          <t>https://patents.google.com/patent/CN103572071A/en</t>
        </is>
      </c>
    </row>
    <row r="16">
      <c r="A16" s="14" t="inlineStr">
        <is>
          <t>NOV-C012</t>
        </is>
      </c>
      <c r="B16" s="14" t="inlineStr">
        <is>
          <t>US20240375972</t>
        </is>
      </c>
      <c r="C16" s="14" t="inlineStr">
        <is>
          <t>US</t>
        </is>
      </c>
      <c r="D16" s="14" t="inlineStr">
        <is>
          <t>Monitor prosecution</t>
        </is>
      </c>
      <c r="E16" s="20" t="inlineStr">
        <is>
          <t>Bajo-medio</t>
        </is>
      </c>
      <c r="F16" s="16" t="n">
        <v>40</v>
      </c>
      <c r="G16" s="6" t="inlineStr">
        <is>
          <t>Medio</t>
        </is>
      </c>
      <c r="H16" s="16" t="n">
        <v>48</v>
      </c>
      <c r="I16" s="19" t="inlineStr">
        <is>
          <t>Media</t>
        </is>
      </c>
      <c r="J16" s="16" t="n">
        <v>50</v>
      </c>
      <c r="K16" s="14" t="inlineStr">
        <is>
          <t>Alta</t>
        </is>
      </c>
      <c r="L16" s="14" t="inlineStr">
        <is>
          <t>Monitorear por potencial futuro, sin asignar bloqueo actual</t>
        </is>
      </c>
      <c r="M16" s="14" t="inlineStr">
        <is>
          <t>https://patents.google.com/patent/US20240375972A1/en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8" customWidth="1" min="3" max="3"/>
    <col width="14" customWidth="1" min="4" max="4"/>
    <col width="24" customWidth="1" min="5" max="5"/>
    <col width="12" customWidth="1" min="6" max="6"/>
    <col width="28" customWidth="1" min="7" max="7"/>
    <col width="20" customWidth="1" min="8" max="8"/>
    <col width="18" customWidth="1" min="9" max="9"/>
    <col width="32" customWidth="1" min="10" max="10"/>
    <col width="28" customWidth="1" min="11" max="11"/>
  </cols>
  <sheetData>
    <row r="1" ht="26" customHeight="1">
      <c r="A1" s="1" t="inlineStr">
        <is>
          <t>Design-around y acciones recomendadas</t>
        </is>
      </c>
    </row>
    <row r="5">
      <c r="A5" s="13" t="inlineStr">
        <is>
          <t>Familia</t>
        </is>
      </c>
      <c r="B5" s="13" t="inlineStr">
        <is>
          <t>Núcleo de riesgo</t>
        </is>
      </c>
      <c r="C5" s="13" t="inlineStr">
        <is>
          <t>Palancas de diferenciación técnica</t>
        </is>
      </c>
      <c r="D5" s="13" t="inlineStr">
        <is>
          <t>Factibilidad</t>
        </is>
      </c>
      <c r="E5" s="13" t="inlineStr">
        <is>
          <t>Acción IP</t>
        </is>
      </c>
      <c r="F5" s="13" t="inlineStr">
        <is>
          <t>Prioridad</t>
        </is>
      </c>
      <c r="G5" s="13" t="inlineStr">
        <is>
          <t>Entregable siguiente</t>
        </is>
      </c>
      <c r="H5" s="13" t="inlineStr">
        <is>
          <t>Dependencia</t>
        </is>
      </c>
      <c r="I5" s="13" t="inlineStr">
        <is>
          <t>Responsable sugerido</t>
        </is>
      </c>
      <c r="J5" s="13" t="inlineStr">
        <is>
          <t>Comentario operativo</t>
        </is>
      </c>
      <c r="K5" s="13" t="inlineStr">
        <is>
          <t>URL fuente</t>
        </is>
      </c>
    </row>
    <row r="6">
      <c r="A6" s="14" t="inlineStr">
        <is>
          <t>CN105540620 / US9005557 / WO2012099637</t>
        </is>
      </c>
      <c r="B6" s="14" t="inlineStr">
        <is>
          <t>KCl + precipitación de carnallita para remover Mg</t>
        </is>
      </c>
      <c r="C6" s="14" t="inlineStr">
        <is>
          <t>Sustitución/reactivo alterno; ventana operacional distinta; objetivo mineralógico distinto; integración de NF aguas abajo con feed diferenciado</t>
        </is>
      </c>
      <c r="D6" s="19" t="inlineStr">
        <is>
          <t>Media</t>
        </is>
      </c>
      <c r="E6" s="14" t="inlineStr">
        <is>
          <t>Monitoreo US + memo de design-around</t>
        </is>
      </c>
      <c r="F6" s="17" t="inlineStr">
        <is>
          <t>Crítica</t>
        </is>
      </c>
      <c r="G6" s="14" t="inlineStr">
        <is>
          <t>Memo KCl/carnallita</t>
        </is>
      </c>
      <c r="H6" s="14" t="inlineStr">
        <is>
          <t>Validación técnica de proceso</t>
        </is>
      </c>
      <c r="I6" s="14" t="inlineStr">
        <is>
          <t>IP + Proceso</t>
        </is>
      </c>
      <c r="J6" s="14" t="inlineStr">
        <is>
          <t>No asumir libertad plena por caída de WO/EP; el riesgo se mantiene en grants activos</t>
        </is>
      </c>
      <c r="K6" s="14" t="inlineStr">
        <is>
          <t>https://patents.google.com/patent/US9005557/en</t>
        </is>
      </c>
    </row>
    <row r="7">
      <c r="A7" s="14" t="inlineStr">
        <is>
          <t>US11219863 / CN109368670 / WO2020073611</t>
        </is>
      </c>
      <c r="B7" s="14" t="inlineStr">
        <is>
          <t>Secuencia NF/RO/ED de enriquecimiento</t>
        </is>
      </c>
      <c r="C7" s="14" t="inlineStr">
        <is>
          <t>Diferenciar punto de entrada al tren de membranas, orden secuencial, calidad de licor tratado y objetivos de concentración</t>
        </is>
      </c>
      <c r="D7" s="18" t="inlineStr">
        <is>
          <t>Media-baja</t>
        </is>
      </c>
      <c r="E7" s="14" t="inlineStr">
        <is>
          <t>Profundizar claims dependientes US/CN</t>
        </is>
      </c>
      <c r="F7" s="17" t="inlineStr">
        <is>
          <t>Crítica</t>
        </is>
      </c>
      <c r="G7" s="14" t="inlineStr">
        <is>
          <t>Memo de diferenciación de secuencia</t>
        </is>
      </c>
      <c r="H7" s="14" t="inlineStr">
        <is>
          <t>Proceso objetivo definitivo</t>
        </is>
      </c>
      <c r="I7" s="14" t="inlineStr">
        <is>
          <t>IP + Proceso</t>
        </is>
      </c>
      <c r="J7" s="14" t="inlineStr">
        <is>
          <t>Alta sensibilidad si Novandino converge a secuencias integradas de enriquecimiento desde brina envejecida o licor equivalente</t>
        </is>
      </c>
      <c r="K7" s="14" t="inlineStr">
        <is>
          <t>https://patents.google.com/patent/US11219863B2/en</t>
        </is>
      </c>
    </row>
    <row r="8">
      <c r="A8" s="14" t="inlineStr">
        <is>
          <t>US11203542 / CN110603339 / WO2018208305</t>
        </is>
      </c>
      <c r="B8" s="14" t="inlineStr">
        <is>
          <t>Softening de brina por doble NF y uso de sulfato</t>
        </is>
      </c>
      <c r="C8" s="14" t="inlineStr">
        <is>
          <t>Acreditar ausencia de sulfato; una sola NF; feed distinto; objetivos distintos de softening</t>
        </is>
      </c>
      <c r="D8" s="19" t="inlineStr">
        <is>
          <t>Media</t>
        </is>
      </c>
      <c r="E8" s="14" t="inlineStr">
        <is>
          <t>Revisión fina de dependientes críticos</t>
        </is>
      </c>
      <c r="F8" s="18" t="inlineStr">
        <is>
          <t>Alta</t>
        </is>
      </c>
      <c r="G8" s="14" t="inlineStr">
        <is>
          <t>Anexo técnico NF</t>
        </is>
      </c>
      <c r="H8" s="14" t="inlineStr">
        <is>
          <t>Especificación de membranas</t>
        </is>
      </c>
      <c r="I8" s="14" t="inlineStr">
        <is>
          <t>IP + Membranas</t>
        </is>
      </c>
      <c r="J8" s="14" t="inlineStr">
        <is>
          <t>Importante para delimitar que no todo uso de NF cae en el mismo riesgo</t>
        </is>
      </c>
      <c r="K8" s="14" t="inlineStr">
        <is>
          <t>https://patents.google.com/patent/US11203542B2/en</t>
        </is>
      </c>
    </row>
    <row r="9">
      <c r="A9" s="14" t="inlineStr">
        <is>
          <t>CN103074502</t>
        </is>
      </c>
      <c r="B9" s="14" t="inlineStr">
        <is>
          <t>Evaporación + dilución + NF/RO + reciclaje</t>
        </is>
      </c>
      <c r="C9" s="14" t="inlineStr">
        <is>
          <t>Diferenciar secuencia exacta, rol de RO, dilución y retorno de agua</t>
        </is>
      </c>
      <c r="D9" s="18" t="inlineStr">
        <is>
          <t>Media-baja</t>
        </is>
      </c>
      <c r="E9" s="14" t="inlineStr">
        <is>
          <t>Monitoreo CN reforzado</t>
        </is>
      </c>
      <c r="F9" s="18" t="inlineStr">
        <is>
          <t>Alta</t>
        </is>
      </c>
      <c r="G9" s="14" t="inlineStr">
        <is>
          <t>Checklist CN flowsheet</t>
        </is>
      </c>
      <c r="H9" s="14" t="inlineStr">
        <is>
          <t>Validación registral CNIPA</t>
        </is>
      </c>
      <c r="I9" s="14" t="inlineStr">
        <is>
          <t>IP + Proceso</t>
        </is>
      </c>
      <c r="J9" s="14" t="inlineStr">
        <is>
          <t>Concentrado territorialmente en CN, pero técnicamente muy cercano</t>
        </is>
      </c>
      <c r="K9" s="14" t="inlineStr">
        <is>
          <t>https://patents.google.com/patent/CN103074502B/en</t>
        </is>
      </c>
    </row>
    <row r="10">
      <c r="A10" s="14" t="inlineStr">
        <is>
          <t>CN114105173</t>
        </is>
      </c>
      <c r="B10" s="14" t="inlineStr">
        <is>
          <t>Integración NF/RO/ED y recuperación multi-soluto</t>
        </is>
      </c>
      <c r="C10" s="14" t="inlineStr">
        <is>
          <t>Diferenciar alcance de recuperación y objetivos de solutos; limitar uso como prior art o monitor</t>
        </is>
      </c>
      <c r="D10" s="19" t="inlineStr">
        <is>
          <t>Media</t>
        </is>
      </c>
      <c r="E10" s="14" t="inlineStr">
        <is>
          <t>Monitoreo crítico</t>
        </is>
      </c>
      <c r="F10" s="18" t="inlineStr">
        <is>
          <t>Alta</t>
        </is>
      </c>
      <c r="G10" s="14" t="inlineStr">
        <is>
          <t>Nota de vigilancia Tier 2</t>
        </is>
      </c>
      <c r="H10" s="14" t="inlineStr">
        <is>
          <t>Seguimiento prosecution/status</t>
        </is>
      </c>
      <c r="I10" s="14" t="inlineStr">
        <is>
          <t>IP + Proceso</t>
        </is>
      </c>
      <c r="J10" s="14" t="inlineStr">
        <is>
          <t>Puede crecer en relevancia si Novandino expande alcance de valorización integral</t>
        </is>
      </c>
      <c r="K10" s="14" t="inlineStr">
        <is>
          <t>https://patents.google.com/patent/CN114105173B/en</t>
        </is>
      </c>
    </row>
    <row r="11">
      <c r="A11" s="14" t="inlineStr">
        <is>
          <t>WO2021092013 / US12268992 / CN115591404</t>
        </is>
      </c>
      <c r="B11" s="14" t="inlineStr">
        <is>
          <t>NF + FO en salar brines</t>
        </is>
      </c>
      <c r="C11" s="14" t="inlineStr">
        <is>
          <t>Acreditar ausencia de FO o arquitectura distinta; usar como benchmark de frontera</t>
        </is>
      </c>
      <c r="D11" s="19" t="inlineStr">
        <is>
          <t>Media</t>
        </is>
      </c>
      <c r="E11" s="14" t="inlineStr">
        <is>
          <t>Monitor amplio</t>
        </is>
      </c>
      <c r="F11" s="18" t="inlineStr">
        <is>
          <t>Alta</t>
        </is>
      </c>
      <c r="G11" s="14" t="inlineStr">
        <is>
          <t>Ficha comparativa NF/FO</t>
        </is>
      </c>
      <c r="H11" s="14" t="inlineStr">
        <is>
          <t>Control de alcance real</t>
        </is>
      </c>
      <c r="I11" s="14" t="inlineStr">
        <is>
          <t>IP + Membranas</t>
        </is>
      </c>
      <c r="J11" s="14" t="inlineStr">
        <is>
          <t>Más relevante para vigilancia y patentabilidad que para bloqueo inmediato</t>
        </is>
      </c>
      <c r="K11" s="14" t="inlineStr">
        <is>
          <t>https://patents.google.com/patent/US12268992/en</t>
        </is>
      </c>
    </row>
    <row r="12">
      <c r="A12" s="14" t="inlineStr">
        <is>
          <t>CN114735726 / WO2023159899 / US20240262704</t>
        </is>
      </c>
      <c r="B12" s="14" t="inlineStr">
        <is>
          <t>Prosecution / family growth</t>
        </is>
      </c>
      <c r="C12" s="14" t="inlineStr">
        <is>
          <t>Seguir evolución de claims; usar como insumo de patentabilidad y vigilancia</t>
        </is>
      </c>
      <c r="D12" s="20" t="inlineStr">
        <is>
          <t>Alta</t>
        </is>
      </c>
      <c r="E12" s="14" t="inlineStr">
        <is>
          <t>Monitorear prosecution</t>
        </is>
      </c>
      <c r="F12" s="19" t="inlineStr">
        <is>
          <t>Media-alta</t>
        </is>
      </c>
      <c r="G12" s="14" t="inlineStr">
        <is>
          <t>Reporte mensual de vigilancia</t>
        </is>
      </c>
      <c r="H12" s="14" t="inlineStr">
        <is>
          <t>Acceso a status oficial</t>
        </is>
      </c>
      <c r="I12" s="14" t="inlineStr">
        <is>
          <t>IP + VT</t>
        </is>
      </c>
      <c r="J12" s="14" t="inlineStr">
        <is>
          <t>Importa más por crecimiento potencial que por bloqueo actual en este corte</t>
        </is>
      </c>
      <c r="K12" s="14" t="inlineStr">
        <is>
          <t>https://patents.google.com/patent/CN114735726B/en</t>
        </is>
      </c>
    </row>
    <row r="13">
      <c r="A13" s="14" t="inlineStr">
        <is>
          <t>CN105540619</t>
        </is>
      </c>
      <c r="B13" s="14" t="inlineStr">
        <is>
          <t>Ruta integrada a Li2CO3</t>
        </is>
      </c>
      <c r="C13" s="14" t="inlineStr">
        <is>
          <t>Diferenciar endpoint, intermedios y secuencia operativa</t>
        </is>
      </c>
      <c r="D13" s="19" t="inlineStr">
        <is>
          <t>Media</t>
        </is>
      </c>
      <c r="E13" s="14" t="inlineStr">
        <is>
          <t>Monitor comparativo</t>
        </is>
      </c>
      <c r="F13" s="19" t="inlineStr">
        <is>
          <t>Media</t>
        </is>
      </c>
      <c r="G13" s="14" t="inlineStr">
        <is>
          <t>Ficha comparativa de endpoint</t>
        </is>
      </c>
      <c r="H13" s="14" t="inlineStr">
        <is>
          <t>Definir endpoint Novandino</t>
        </is>
      </c>
      <c r="I13" s="14" t="inlineStr">
        <is>
          <t>IP + Proceso</t>
        </is>
      </c>
      <c r="J13" s="14" t="inlineStr">
        <is>
          <t>Útil para acotar la frontera de patentabilidad propia</t>
        </is>
      </c>
      <c r="K13" s="14" t="inlineStr">
        <is>
          <t>https://patents.google.com/patent/CN105540619B/en</t>
        </is>
      </c>
    </row>
    <row r="14">
      <c r="A14" s="14" t="inlineStr">
        <is>
          <t>DE102015000872</t>
        </is>
      </c>
      <c r="B14" s="14" t="inlineStr">
        <is>
          <t>Sales mixtas / LiCl</t>
        </is>
      </c>
      <c r="C14" s="14" t="inlineStr">
        <is>
          <t>Verificar vigencia real y relevancia efectiva</t>
        </is>
      </c>
      <c r="D14" s="20" t="inlineStr">
        <is>
          <t>Alta</t>
        </is>
      </c>
      <c r="E14" s="14" t="inlineStr">
        <is>
          <t>Verificar status</t>
        </is>
      </c>
      <c r="F14" s="19" t="inlineStr">
        <is>
          <t>Media</t>
        </is>
      </c>
      <c r="G14" s="14" t="inlineStr">
        <is>
          <t>Nota de verificación DE</t>
        </is>
      </c>
      <c r="H14" s="14" t="inlineStr">
        <is>
          <t>Búsqueda registral DE/EPO</t>
        </is>
      </c>
      <c r="I14" s="14" t="inlineStr">
        <is>
          <t>VT + IP</t>
        </is>
      </c>
      <c r="J14" s="14" t="inlineStr">
        <is>
          <t>Hoy no determina el core del riesgo, pero sí debe quedar limpio metodológicamente</t>
        </is>
      </c>
      <c r="K14" s="14" t="inlineStr">
        <is>
          <t>https://patents.google.com/patent/DE102015000872A1/en</t>
        </is>
      </c>
    </row>
    <row r="15">
      <c r="A15" s="14" t="inlineStr">
        <is>
          <t>US20240375972</t>
        </is>
      </c>
      <c r="B15" s="14" t="inlineStr">
        <is>
          <t>Pending US</t>
        </is>
      </c>
      <c r="C15" s="14" t="inlineStr">
        <is>
          <t>Monitoreo prosecution</t>
        </is>
      </c>
      <c r="D15" s="20" t="inlineStr">
        <is>
          <t>Alta</t>
        </is>
      </c>
      <c r="E15" s="14" t="inlineStr">
        <is>
          <t>Monitor</t>
        </is>
      </c>
      <c r="F15" s="19" t="inlineStr">
        <is>
          <t>Media</t>
        </is>
      </c>
      <c r="G15" s="14" t="inlineStr">
        <is>
          <t>Seguimiento trimestral US</t>
        </is>
      </c>
      <c r="H15" s="14" t="inlineStr">
        <is>
          <t>Revisión regular de expediente</t>
        </is>
      </c>
      <c r="I15" s="14" t="inlineStr">
        <is>
          <t>VT + IP</t>
        </is>
      </c>
      <c r="J15" s="14" t="inlineStr">
        <is>
          <t>No debe tratarse como bloqueo cerrado mientras siga pending</t>
        </is>
      </c>
      <c r="K15" s="14" t="inlineStr">
        <is>
          <t>https://patents.google.com/patent/US20240375972A1/en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24" customWidth="1" min="4" max="4"/>
    <col width="40" customWidth="1" min="5" max="5"/>
  </cols>
  <sheetData>
    <row r="1" ht="26" customHeight="1">
      <c r="A1" s="1" t="inlineStr">
        <is>
          <t>Fuentes y trazabilidad</t>
        </is>
      </c>
    </row>
    <row r="5">
      <c r="A5" s="13" t="inlineStr">
        <is>
          <t>Tipo</t>
        </is>
      </c>
      <c r="B5" s="13" t="inlineStr">
        <is>
          <t>Referencia</t>
        </is>
      </c>
      <c r="C5" s="13" t="inlineStr">
        <is>
          <t>URL</t>
        </is>
      </c>
      <c r="D5" s="13" t="inlineStr">
        <is>
          <t>Uso en dashboard</t>
        </is>
      </c>
      <c r="E5" s="13" t="inlineStr">
        <is>
          <t>Observación</t>
        </is>
      </c>
    </row>
    <row r="6">
      <c r="A6" s="14" t="inlineStr">
        <is>
          <t>Google Patents</t>
        </is>
      </c>
      <c r="B6" s="14" t="inlineStr">
        <is>
          <t>US9005557 (KCl/carnallita)</t>
        </is>
      </c>
      <c r="C6" s="14" t="inlineStr">
        <is>
          <t>https://patents.google.com/patent/US9005557/en</t>
        </is>
      </c>
      <c r="D6" s="14" t="inlineStr">
        <is>
          <t>Status/alcance familiar y validación ejecutiva</t>
        </is>
      </c>
      <c r="E6" s="14" t="inlineStr">
        <is>
          <t>URL textual incluida para trazabilidad interna</t>
        </is>
      </c>
    </row>
    <row r="7">
      <c r="A7" s="14" t="inlineStr">
        <is>
          <t>Google Patents</t>
        </is>
      </c>
      <c r="B7" s="14" t="inlineStr">
        <is>
          <t>US11219863B2</t>
        </is>
      </c>
      <c r="C7" s="14" t="inlineStr">
        <is>
          <t>https://patents.google.com/patent/US11219863B2/en</t>
        </is>
      </c>
      <c r="D7" s="14" t="inlineStr">
        <is>
          <t>Status/alcance familiar y validación ejecutiva</t>
        </is>
      </c>
      <c r="E7" s="14" t="inlineStr">
        <is>
          <t>URL textual incluida para trazabilidad interna</t>
        </is>
      </c>
    </row>
    <row r="8">
      <c r="A8" s="14" t="inlineStr">
        <is>
          <t>Google Patents</t>
        </is>
      </c>
      <c r="B8" s="14" t="inlineStr">
        <is>
          <t>US11203542B2</t>
        </is>
      </c>
      <c r="C8" s="14" t="inlineStr">
        <is>
          <t>https://patents.google.com/patent/US11203542B2/en</t>
        </is>
      </c>
      <c r="D8" s="14" t="inlineStr">
        <is>
          <t>Status/alcance familiar y validación ejecutiva</t>
        </is>
      </c>
      <c r="E8" s="14" t="inlineStr">
        <is>
          <t>URL textual incluida para trazabilidad interna</t>
        </is>
      </c>
    </row>
    <row r="9">
      <c r="A9" s="14" t="inlineStr">
        <is>
          <t>Google Patents</t>
        </is>
      </c>
      <c r="B9" s="14" t="inlineStr">
        <is>
          <t>CN103074502B</t>
        </is>
      </c>
      <c r="C9" s="14" t="inlineStr">
        <is>
          <t>https://patents.google.com/patent/CN103074502B/en</t>
        </is>
      </c>
      <c r="D9" s="14" t="inlineStr">
        <is>
          <t>Status/alcance familiar y validación ejecutiva</t>
        </is>
      </c>
      <c r="E9" s="14" t="inlineStr">
        <is>
          <t>URL textual incluida para trazabilidad interna</t>
        </is>
      </c>
    </row>
    <row r="10">
      <c r="A10" s="14" t="inlineStr">
        <is>
          <t>Google Patents</t>
        </is>
      </c>
      <c r="B10" s="14" t="inlineStr">
        <is>
          <t>CN114105173B</t>
        </is>
      </c>
      <c r="C10" s="14" t="inlineStr">
        <is>
          <t>https://patents.google.com/patent/CN114105173B/en</t>
        </is>
      </c>
      <c r="D10" s="14" t="inlineStr">
        <is>
          <t>Status/alcance familiar y validación ejecutiva</t>
        </is>
      </c>
      <c r="E10" s="14" t="inlineStr">
        <is>
          <t>URL textual incluida para trazabilidad interna</t>
        </is>
      </c>
    </row>
    <row r="11">
      <c r="A11" s="14" t="inlineStr">
        <is>
          <t>Google Patents</t>
        </is>
      </c>
      <c r="B11" s="14" t="inlineStr">
        <is>
          <t>US12268992</t>
        </is>
      </c>
      <c r="C11" s="14" t="inlineStr">
        <is>
          <t>https://patents.google.com/patent/US12268992/en</t>
        </is>
      </c>
      <c r="D11" s="14" t="inlineStr">
        <is>
          <t>Status/alcance familiar y validación ejecutiva</t>
        </is>
      </c>
      <c r="E11" s="14" t="inlineStr">
        <is>
          <t>URL textual incluida para trazabilidad interna</t>
        </is>
      </c>
    </row>
    <row r="12">
      <c r="A12" s="14" t="inlineStr">
        <is>
          <t>Google Patents</t>
        </is>
      </c>
      <c r="B12" s="14" t="inlineStr">
        <is>
          <t>CN114735726B</t>
        </is>
      </c>
      <c r="C12" s="14" t="inlineStr">
        <is>
          <t>https://patents.google.com/patent/CN114735726B/en</t>
        </is>
      </c>
      <c r="D12" s="14" t="inlineStr">
        <is>
          <t>Status/alcance familiar y validación ejecutiva</t>
        </is>
      </c>
      <c r="E12" s="14" t="inlineStr">
        <is>
          <t>URL textual incluida para trazabilidad interna</t>
        </is>
      </c>
    </row>
    <row r="13">
      <c r="A13" s="14" t="inlineStr">
        <is>
          <t>Google Patents</t>
        </is>
      </c>
      <c r="B13" s="14" t="inlineStr">
        <is>
          <t>CN105540619B</t>
        </is>
      </c>
      <c r="C13" s="14" t="inlineStr">
        <is>
          <t>https://patents.google.com/patent/CN105540619B/en</t>
        </is>
      </c>
      <c r="D13" s="14" t="inlineStr">
        <is>
          <t>Status/alcance familiar y validación ejecutiva</t>
        </is>
      </c>
      <c r="E13" s="14" t="inlineStr">
        <is>
          <t>URL textual incluida para trazabilidad interna</t>
        </is>
      </c>
    </row>
    <row r="14">
      <c r="A14" s="14" t="inlineStr">
        <is>
          <t>Google Patents</t>
        </is>
      </c>
      <c r="B14" s="14" t="inlineStr">
        <is>
          <t>DE102015000872A1</t>
        </is>
      </c>
      <c r="C14" s="14" t="inlineStr">
        <is>
          <t>https://patents.google.com/patent/DE102015000872A1/en</t>
        </is>
      </c>
      <c r="D14" s="14" t="inlineStr">
        <is>
          <t>Status/alcance familiar y validación ejecutiva</t>
        </is>
      </c>
      <c r="E14" s="14" t="inlineStr">
        <is>
          <t>URL textual incluida para trazabilidad interna</t>
        </is>
      </c>
    </row>
    <row r="15">
      <c r="A15" s="14" t="inlineStr">
        <is>
          <t>Google Patents</t>
        </is>
      </c>
      <c r="B15" s="14" t="inlineStr">
        <is>
          <t>CN103572071A</t>
        </is>
      </c>
      <c r="C15" s="14" t="inlineStr">
        <is>
          <t>https://patents.google.com/patent/CN103572071A/en</t>
        </is>
      </c>
      <c r="D15" s="14" t="inlineStr">
        <is>
          <t>Status/alcance familiar y validación ejecutiva</t>
        </is>
      </c>
      <c r="E15" s="14" t="inlineStr">
        <is>
          <t>URL textual incluida para trazabilidad interna</t>
        </is>
      </c>
    </row>
    <row r="16">
      <c r="A16" s="14" t="inlineStr">
        <is>
          <t>Google Patents</t>
        </is>
      </c>
      <c r="B16" s="14" t="inlineStr">
        <is>
          <t>US20240375972A1</t>
        </is>
      </c>
      <c r="C16" s="14" t="inlineStr">
        <is>
          <t>https://patents.google.com/patent/US20240375972A1/en</t>
        </is>
      </c>
      <c r="D16" s="14" t="inlineStr">
        <is>
          <t>Status/alcance familiar y validación ejecutiva</t>
        </is>
      </c>
      <c r="E16" s="14" t="inlineStr">
        <is>
          <t>URL textual incluida para trazabilidad interna</t>
        </is>
      </c>
    </row>
    <row r="17">
      <c r="A17" s="14" t="inlineStr">
        <is>
          <t>Workbook interno</t>
        </is>
      </c>
      <c r="B17" s="14" t="inlineStr">
        <is>
          <t>Innovafirst_FTO_Dashboard_Tier1.xlsx</t>
        </is>
      </c>
      <c r="C17" s="14" t="inlineStr">
        <is>
          <t>/mnt/data/Innovafirst_FTO_Dashboard_Tier1.xlsx</t>
        </is>
      </c>
      <c r="D17" s="14" t="inlineStr">
        <is>
          <t>Base de scorecard Tier 1</t>
        </is>
      </c>
      <c r="E17" s="14" t="inlineStr">
        <is>
          <t>Insumo interno</t>
        </is>
      </c>
      <c r="F17" s="14" t="inlineStr">
        <is>
          <t>Archivo de trabajo</t>
        </is>
      </c>
    </row>
    <row r="18">
      <c r="A18" s="14" t="inlineStr">
        <is>
          <t>Workbook interno</t>
        </is>
      </c>
      <c r="B18" s="14" t="inlineStr">
        <is>
          <t>Innovafirst_Screening_Amplio_Exhaustivo_Razonable_Fase2.xlsx</t>
        </is>
      </c>
      <c r="C18" s="14" t="inlineStr">
        <is>
          <t>/mnt/data/Innovafirst_Screening_Amplio_Exhaustivo_Razonable_Fase2.xlsx</t>
        </is>
      </c>
      <c r="D18" s="14" t="inlineStr">
        <is>
          <t>Base de shortlist y screening</t>
        </is>
      </c>
      <c r="E18" s="14" t="inlineStr">
        <is>
          <t>Insumo interno</t>
        </is>
      </c>
      <c r="F18" s="14" t="inlineStr">
        <is>
          <t>Archivo de trabajo</t>
        </is>
      </c>
    </row>
    <row r="19">
      <c r="A19" s="14" t="inlineStr">
        <is>
          <t>Documento interno</t>
        </is>
      </c>
      <c r="B19" s="14" t="inlineStr">
        <is>
          <t>Innovafirst_Informe_FTO_por_Jurisdiccion_Completo.docx</t>
        </is>
      </c>
      <c r="C19" s="14" t="inlineStr">
        <is>
          <t>/mnt/data/Innovafirst_Informe_FTO_por_Jurisdiccion_Completo.docx</t>
        </is>
      </c>
      <c r="D19" s="14" t="inlineStr">
        <is>
          <t>Síntesis jurídico-técnica por jurisdicción</t>
        </is>
      </c>
      <c r="E19" s="14" t="inlineStr">
        <is>
          <t>Insumo interno</t>
        </is>
      </c>
      <c r="F19" s="14" t="inlineStr">
        <is>
          <t>Archivo de trabajo</t>
        </is>
      </c>
    </row>
    <row r="20">
      <c r="A20" s="14" t="inlineStr">
        <is>
          <t>Documento interno</t>
        </is>
      </c>
      <c r="B20" s="14" t="inlineStr">
        <is>
          <t>Innovafirst_Ficha_Maestra_Proceso_Novandino.docx</t>
        </is>
      </c>
      <c r="C20" s="14" t="inlineStr">
        <is>
          <t>/mnt/data/Innovafirst_Ficha_Maestra_Proceso_Novandino.docx</t>
        </is>
      </c>
      <c r="D20" s="14" t="inlineStr">
        <is>
          <t>Proceso objetivo y scope técnico</t>
        </is>
      </c>
      <c r="E20" s="14" t="inlineStr">
        <is>
          <t>Insumo interno</t>
        </is>
      </c>
      <c r="F20" s="14" t="inlineStr">
        <is>
          <t>Archivo de trabajo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6" customHeight="1">
      <c r="A1" s="1" t="inlineStr">
        <is>
          <t>Notas metodológicas y advertencias</t>
        </is>
      </c>
    </row>
    <row r="5">
      <c r="A5" s="13" t="inlineStr">
        <is>
          <t>Elemento</t>
        </is>
      </c>
      <c r="B5" s="13" t="inlineStr">
        <is>
          <t>Contenido</t>
        </is>
      </c>
    </row>
    <row r="6">
      <c r="A6" s="5" t="inlineStr">
        <is>
          <t>Alcance</t>
        </is>
      </c>
      <c r="B6" s="14" t="inlineStr">
        <is>
          <t>El dashboard resume riesgo FTO por jurisdicción y prioridad de seguimiento sobre la base del proceso objetivo definido en la Ficha Maestra, el screening amplio de Fase 2, la shortlist consolidada y los claim charts Tier 1.</t>
        </is>
      </c>
    </row>
    <row r="7">
      <c r="A7" s="5" t="inlineStr">
        <is>
          <t>Criterio de score</t>
        </is>
      </c>
      <c r="B7" s="14" t="inlineStr">
        <is>
          <t>Los scores ejecutivos combinan cercanía técnica, estatus reportado, foco jurisdiccional, dificultad de design-around y madurez analítica del expediente interno. No sustituyen una opinión legal externa vinculante.</t>
        </is>
      </c>
    </row>
    <row r="8">
      <c r="A8" s="5" t="inlineStr">
        <is>
          <t>Semáforo</t>
        </is>
      </c>
      <c r="B8" s="14" t="inlineStr">
        <is>
          <t>MUY ALTO: &gt;=90; ALTO: 75-89; MEDIO-ALTO: 60-74; MEDIO: 45-59; BAJO: &lt;45.</t>
        </is>
      </c>
    </row>
    <row r="9">
      <c r="A9" s="5" t="inlineStr">
        <is>
          <t>Design-around</t>
        </is>
      </c>
      <c r="B9" s="14" t="inlineStr">
        <is>
          <t>La factibilidad refleja una lectura técnico-estratégica preliminar sobre la capacidad de diferenciar reactivos, secuencia, punto de alimentación, arquitectura de membranas o endpoint del proceso.</t>
        </is>
      </c>
    </row>
    <row r="10">
      <c r="A10" s="5" t="inlineStr">
        <is>
          <t>Advertencia</t>
        </is>
      </c>
      <c r="B10" s="14" t="inlineStr">
        <is>
          <t>Los miembros WO/PCT y varias publicaciones EP cumplen principalmente una función de trazabilidad familiar, salvo que exista grant nacional o regional activo aplicable al territorio de interés.</t>
        </is>
      </c>
    </row>
    <row r="11">
      <c r="A11" s="5" t="inlineStr">
        <is>
          <t>Uso recomendado</t>
        </is>
      </c>
      <c r="B11" s="14" t="inlineStr">
        <is>
          <t>El dashboard se utiliza como pieza ejecutiva para priorizar decisiones; la trazabilidad fina permanece en la matriz maestra, los claim charts y el informe FTO por jurisdicción completo.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2026-03-25T03:24:11Z</dcterms:created>
  <dcterms:modified xmlns:dcterms="http://purl.org/dc/terms/" xmlns:xsi="http://www.w3.org/2001/XMLSchema-instance" xsi:type="dcterms:W3CDTF">2026-03-25T03:24:11Z</dcterms:modified>
</cp:coreProperties>
</file>